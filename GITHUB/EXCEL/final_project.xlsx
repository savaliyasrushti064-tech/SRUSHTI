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EXCEL\final excel\"/>
    </mc:Choice>
  </mc:AlternateContent>
  <xr:revisionPtr revIDLastSave="0" documentId="13_ncr:1_{AF6FE8D9-8988-4C4A-B908-5B08092C11CB}" xr6:coauthVersionLast="47" xr6:coauthVersionMax="47" xr10:uidLastSave="{00000000-0000-0000-0000-000000000000}"/>
  <bookViews>
    <workbookView xWindow="-108" yWindow="-108" windowWidth="23256" windowHeight="12456" firstSheet="2" activeTab="6" xr2:uid="{00000000-000D-0000-FFFF-FFFF00000000}"/>
  </bookViews>
  <sheets>
    <sheet name="Project Instructions" sheetId="1" r:id="rId1"/>
    <sheet name="Scenario Summary" sheetId="3" r:id="rId2"/>
    <sheet name="pivot 1" sheetId="10" r:id="rId3"/>
    <sheet name="pivot 2" sheetId="11" r:id="rId4"/>
    <sheet name="pivot 3" sheetId="8" r:id="rId5"/>
    <sheet name="Final Project Dataset" sheetId="2" r:id="rId6"/>
    <sheet name="DASHBOARD" sheetId="9" r:id="rId7"/>
  </sheets>
  <definedNames>
    <definedName name="NativeTimeline_Customer_Since1">#N/A</definedName>
    <definedName name="NativeTimeline_Date1">#N/A</definedName>
    <definedName name="NativeTimeline_Date2">#N/A</definedName>
    <definedName name="Slicer_Category">#N/A</definedName>
    <definedName name="Slicer_Category1">#N/A</definedName>
    <definedName name="Slicer_Customer_Segment1">#N/A</definedName>
  </definedNames>
  <calcPr calcId="191029" iterate="1"/>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2" l="1"/>
  <c r="R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W2" i="2"/>
  <c r="V2" i="2" l="1"/>
  <c r="T3" i="2" l="1"/>
  <c r="T4" i="2"/>
  <c r="T5" i="2"/>
  <c r="T6" i="2"/>
  <c r="T7" i="2"/>
  <c r="T8" i="2"/>
  <c r="T9" i="2"/>
  <c r="T10" i="2"/>
  <c r="T11" i="2"/>
  <c r="T12" i="2"/>
  <c r="T13" i="2"/>
  <c r="T14" i="2"/>
  <c r="T15" i="2"/>
  <c r="T16" i="2"/>
  <c r="T17" i="2"/>
  <c r="T18" i="2"/>
  <c r="T19" i="2"/>
  <c r="T20" i="2"/>
  <c r="T21" i="2"/>
  <c r="T22" i="2"/>
  <c r="T23" i="2"/>
  <c r="T24" i="2"/>
  <c r="O3" i="2"/>
  <c r="U3" i="2" s="1"/>
  <c r="O4" i="2"/>
  <c r="U4" i="2" s="1"/>
  <c r="O5" i="2"/>
  <c r="U5" i="2" s="1"/>
  <c r="O6" i="2"/>
  <c r="U6" i="2" s="1"/>
  <c r="O7" i="2"/>
  <c r="U7" i="2" s="1"/>
  <c r="O8" i="2"/>
  <c r="U8" i="2" s="1"/>
  <c r="O9" i="2"/>
  <c r="U9" i="2" s="1"/>
  <c r="O10" i="2"/>
  <c r="U10" i="2" s="1"/>
  <c r="O11" i="2"/>
  <c r="U11" i="2" s="1"/>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 r="U2" i="2" s="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alcChain>
</file>

<file path=xl/sharedStrings.xml><?xml version="1.0" encoding="utf-8"?>
<sst xmlns="http://schemas.openxmlformats.org/spreadsheetml/2006/main" count="2370" uniqueCount="433">
  <si>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</si>
  <si>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</si>
  <si>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</si>
  <si>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</si>
  <si>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</si>
  <si>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</si>
  <si>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</si>
  <si>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</si>
  <si>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</si>
  <si>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</si>
  <si>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</si>
  <si>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</si>
  <si>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</si>
  <si>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</si>
  <si>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</si>
  <si>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</si>
  <si>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</si>
  <si>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</si>
  <si>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</si>
  <si>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</si>
  <si>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</si>
  <si>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</si>
  <si>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</si>
  <si>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</si>
  <si>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</si>
  <si>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</si>
  <si>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</si>
  <si>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</si>
  <si>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</si>
  <si>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</si>
  <si>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</si>
  <si>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</si>
  <si>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</si>
  <si>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</si>
  <si>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</si>
  <si>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</si>
  <si>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</si>
  <si>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</si>
  <si>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</si>
  <si>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</si>
  <si>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</si>
  <si>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</si>
  <si>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</si>
  <si>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</si>
  <si>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</si>
  <si>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</si>
  <si>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</si>
  <si>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</si>
  <si>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</si>
  <si>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</si>
  <si>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</si>
  <si>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</si>
  <si>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</si>
  <si>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</si>
  <si>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</si>
  <si>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</si>
  <si>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</si>
  <si>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</si>
  <si>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</si>
  <si>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</si>
  <si>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</si>
  <si>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</si>
  <si>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</si>
  <si>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</si>
  <si>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</si>
  <si>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</si>
  <si>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</si>
  <si>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</si>
  <si>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</si>
  <si>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</si>
  <si>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</si>
  <si>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</si>
  <si>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</si>
  <si>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</si>
  <si>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</si>
  <si>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</si>
  <si>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</si>
  <si>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</si>
  <si>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</si>
  <si>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</si>
  <si>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</si>
  <si>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</si>
  <si>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</si>
  <si>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</si>
  <si>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</si>
  <si>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</si>
  <si>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</si>
  <si>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</si>
  <si>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</si>
  <si>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</si>
  <si>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</si>
  <si>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</si>
  <si>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</si>
  <si>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</si>
  <si>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</si>
  <si>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</si>
  <si>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</si>
  <si>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</si>
  <si>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</si>
  <si>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</si>
  <si>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</si>
  <si>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</si>
  <si>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</si>
  <si>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</si>
  <si>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</si>
  <si>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</si>
  <si>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</si>
  <si>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</si>
  <si>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</si>
  <si>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</si>
  <si>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</si>
  <si>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</si>
  <si>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</si>
  <si>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</si>
  <si>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</si>
  <si>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</si>
  <si>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</si>
  <si>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</si>
  <si>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</si>
  <si>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</si>
  <si>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</si>
  <si>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</si>
  <si>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</si>
  <si>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</si>
  <si>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</si>
  <si>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</si>
  <si>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</si>
  <si>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</si>
  <si>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</si>
  <si>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</si>
  <si>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</si>
  <si>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</si>
  <si>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</si>
  <si>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</si>
  <si>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</si>
  <si>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</si>
  <si>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</si>
  <si>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</si>
  <si>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</si>
  <si>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</si>
  <si>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</si>
  <si>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</si>
  <si>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</si>
  <si>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</si>
  <si>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</si>
  <si>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</si>
  <si>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</si>
  <si>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</si>
  <si>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</si>
  <si>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</si>
  <si>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</si>
  <si>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</si>
  <si>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</si>
  <si>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</si>
  <si>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</si>
  <si>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</si>
  <si>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</si>
  <si>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</si>
  <si>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</si>
  <si>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</si>
  <si>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</si>
  <si>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</si>
  <si>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</si>
  <si>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</si>
  <si>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</si>
  <si>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</si>
  <si>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</si>
  <si>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</si>
  <si>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</si>
  <si>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</si>
  <si>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</si>
  <si>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</si>
  <si>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</si>
  <si>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</si>
  <si>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</si>
  <si>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</si>
  <si>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</si>
  <si>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</si>
  <si>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</si>
  <si>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</si>
  <si>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</si>
  <si>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</si>
  <si>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</si>
  <si>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</si>
  <si>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</si>
  <si>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</si>
  <si>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</si>
  <si>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</si>
  <si>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</si>
  <si>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</si>
  <si>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</si>
  <si>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</si>
  <si>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</si>
  <si>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</si>
  <si>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</si>
  <si>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</si>
  <si>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</si>
  <si>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</si>
  <si>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</si>
  <si>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</si>
  <si>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</si>
  <si>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</si>
  <si>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</si>
  <si>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</si>
  <si>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</si>
  <si>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</si>
  <si>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</si>
  <si>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</si>
  <si>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</si>
  <si>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</si>
  <si>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</si>
  <si>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</si>
  <si>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</si>
  <si>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</si>
  <si>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</si>
  <si>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</si>
  <si>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</si>
  <si>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</si>
  <si>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</si>
  <si>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</si>
  <si>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</si>
  <si>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</si>
  <si>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</si>
  <si>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</si>
  <si>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</si>
  <si>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</si>
  <si>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</si>
  <si>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</si>
  <si>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</si>
  <si>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</si>
  <si>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</si>
  <si>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</si>
  <si>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</si>
  <si>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</si>
  <si>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</si>
  <si>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</si>
  <si>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</si>
  <si>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</si>
  <si>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</si>
  <si>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</si>
  <si>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</si>
  <si>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</si>
  <si>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</si>
  <si>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</si>
  <si>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</si>
  <si>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</si>
  <si>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</si>
  <si>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</si>
  <si>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</si>
  <si>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</si>
  <si>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</si>
  <si>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</si>
  <si>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</si>
  <si>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</si>
  <si>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</si>
  <si>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</si>
  <si>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</si>
  <si>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</si>
  <si>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</si>
  <si>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</si>
  <si>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</si>
  <si>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</si>
  <si>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</si>
  <si>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</si>
  <si>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</si>
  <si>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</si>
  <si>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</si>
  <si>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</si>
  <si>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</si>
  <si>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</si>
  <si>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</si>
  <si>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</si>
  <si>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</si>
  <si>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</si>
  <si>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</si>
  <si>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</si>
  <si>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</si>
  <si>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</si>
  <si>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</si>
  <si>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</si>
  <si>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</si>
  <si>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</si>
  <si>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</si>
  <si>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</si>
  <si>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</si>
  <si>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</si>
  <si>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</si>
  <si>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</si>
  <si>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</si>
  <si>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</si>
  <si>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</si>
  <si>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</si>
  <si>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</si>
  <si>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</si>
  <si>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</si>
  <si>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</si>
  <si>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</si>
  <si>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</si>
  <si>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</si>
  <si>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</si>
  <si>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</si>
  <si>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</si>
  <si>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</si>
  <si>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</si>
  <si>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</si>
  <si>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</si>
  <si>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</si>
  <si>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</si>
  <si>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</si>
  <si>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</si>
  <si>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</si>
  <si>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</si>
  <si>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</si>
  <si>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</si>
  <si>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</si>
  <si>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</si>
  <si>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</si>
  <si>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</si>
  <si>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</si>
  <si>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</si>
  <si>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</si>
  <si>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</si>
  <si>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</si>
  <si>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</si>
  <si>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</si>
  <si>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</si>
  <si>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</si>
  <si>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</si>
  <si>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</si>
  <si>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</si>
  <si>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</si>
  <si>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</si>
  <si>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</si>
  <si>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</si>
  <si>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</si>
  <si>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</si>
  <si>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</si>
  <si>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</si>
  <si>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</si>
  <si>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</si>
  <si>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</si>
  <si>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</si>
  <si>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</si>
  <si>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</si>
  <si>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</si>
  <si>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</si>
  <si>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</si>
  <si>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</si>
  <si>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</si>
  <si>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</si>
  <si>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</si>
  <si>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</si>
  <si>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</si>
  <si>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</si>
  <si>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</si>
  <si>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</si>
  <si>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</si>
  <si>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</si>
  <si>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</si>
  <si>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</si>
  <si>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</si>
  <si>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</si>
  <si>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</si>
  <si>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</si>
  <si>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</si>
  <si>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</si>
  <si>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</si>
  <si>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</si>
  <si>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</si>
  <si>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</si>
  <si>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</si>
  <si>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</si>
  <si>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</si>
  <si>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</si>
  <si>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</si>
  <si>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</si>
  <si>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</si>
  <si>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</si>
  <si>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</si>
  <si>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</si>
  <si>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</si>
  <si>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</si>
  <si>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</si>
  <si>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</si>
  <si>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</si>
  <si>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</si>
  <si>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</si>
  <si>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</si>
  <si>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</si>
  <si>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</si>
  <si>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</si>
  <si>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</si>
  <si>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</si>
  <si>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</si>
  <si>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</si>
  <si>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</si>
  <si>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</si>
  <si>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</si>
  <si>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</si>
  <si>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</si>
  <si>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</si>
  <si>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Year</t>
  </si>
  <si>
    <t xml:space="preserve">High value order </t>
  </si>
  <si>
    <t>Cust_Age ( in days)</t>
  </si>
  <si>
    <t>Conditional Formatting</t>
  </si>
  <si>
    <t>Timestamp NOW()</t>
  </si>
  <si>
    <t>TODAY()</t>
  </si>
  <si>
    <t>NOW()</t>
  </si>
  <si>
    <t>Sales</t>
  </si>
  <si>
    <t>Cost</t>
  </si>
  <si>
    <t>$B$2</t>
  </si>
  <si>
    <t>$B$3</t>
  </si>
  <si>
    <t>$P$2</t>
  </si>
  <si>
    <t>$Q$2</t>
  </si>
  <si>
    <t>Best Case</t>
  </si>
  <si>
    <t>Created by DELL on 12/23/2025</t>
  </si>
  <si>
    <t>Worst Case</t>
  </si>
  <si>
    <t>Average Cae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</si>
  <si>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</si>
  <si>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</si>
  <si>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</si>
  <si>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</si>
  <si>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</si>
  <si>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</si>
  <si>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</si>
  <si>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Month</t>
  </si>
  <si>
    <t>Total_sales</t>
  </si>
  <si>
    <t>Row Labels</t>
  </si>
  <si>
    <t>Grand Total</t>
  </si>
  <si>
    <t>Sum of Total_Amount</t>
  </si>
  <si>
    <t>Sum of Unit_Price</t>
  </si>
  <si>
    <t>Count of Transaction_ID</t>
  </si>
  <si>
    <t xml:space="preserve">                                                              DATA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</si>
</sst>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26"/>
      <color theme="1"/>
      <name val="Baskerville Old Face"/>
      <family val="1"/>
    </font>
  </fonts>
  <fills count="19">
    <fill>
      <patternFill patternType="none"/>
    </fill>
    <fill>
      <patternFill patternType="gray125"/>
    </fill>
    <fill>
      <patternFill patternType="solid">
        <fgColor rgb="FFFFF2CC"/>
        <bgColor rgb="FFFFF2CC"/>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tint="-0.249977111117893"/>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49998474074526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3">
    <xf numFmtId="0" fontId="0" fillId="0" borderId="0" xfId="0"/>
    <xf numFmtId="0" fontId="3" fillId="2" borderId="1" xfId="0" applyFont="1" applyFill="1" applyBorder="1" applyAlignment="1">
      <alignment horizontal="center"/>
    </xf>
    <xf numFmtId="0" fontId="4" fillId="0" borderId="0" xfId="0" applyFont="1" applyAlignment="1">
      <alignment horizontal="center" vertical="center"/>
    </xf>
    <xf numFmtId="0" fontId="5" fillId="0" borderId="1" xfId="0" applyFont="1" applyBorder="1"/>
    <xf numFmtId="0" fontId="6" fillId="0" borderId="0" xfId="0" applyFont="1"/>
    <xf numFmtId="0" fontId="4" fillId="0" borderId="0" xfId="0" applyFont="1"/>
    <xf numFmtId="164" fontId="4" fillId="0" borderId="0" xfId="0" applyNumberFormat="1" applyFont="1"/>
    <xf numFmtId="0" fontId="10" fillId="3" borderId="5" xfId="0" applyFont="1" applyFill="1" applyBorder="1" applyAlignment="1">
      <alignment horizontal="left"/>
    </xf>
    <xf numFmtId="0" fontId="10" fillId="3" borderId="3" xfId="0" applyFont="1" applyFill="1" applyBorder="1" applyAlignment="1">
      <alignment horizontal="left"/>
    </xf>
    <xf numFmtId="0" fontId="0" fillId="0" borderId="6" xfId="0" applyBorder="1"/>
    <xf numFmtId="0" fontId="11" fillId="4" borderId="0" xfId="0" applyFont="1" applyFill="1" applyAlignment="1">
      <alignment horizontal="left"/>
    </xf>
    <xf numFmtId="0" fontId="12" fillId="4" borderId="6" xfId="0" applyFont="1" applyFill="1" applyBorder="1" applyAlignment="1">
      <alignment horizontal="left"/>
    </xf>
    <xf numFmtId="0" fontId="11" fillId="4" borderId="4" xfId="0" applyFont="1" applyFill="1" applyBorder="1" applyAlignment="1">
      <alignment horizontal="left"/>
    </xf>
    <xf numFmtId="0" fontId="13" fillId="3" borderId="3" xfId="0" applyFont="1" applyFill="1" applyBorder="1" applyAlignment="1">
      <alignment horizontal="right"/>
    </xf>
    <xf numFmtId="0" fontId="13" fillId="3" borderId="5" xfId="0" applyFont="1" applyFill="1" applyBorder="1" applyAlignment="1">
      <alignment horizontal="right"/>
    </xf>
    <xf numFmtId="0" fontId="0" fillId="5" borderId="0" xfId="0" applyFill="1"/>
    <xf numFmtId="0" fontId="14" fillId="0" borderId="0" xfId="0" applyFont="1" applyAlignment="1">
      <alignment vertical="top" wrapText="1"/>
    </xf>
    <xf numFmtId="0" fontId="0" fillId="6" borderId="0" xfId="0" applyFill="1"/>
    <xf numFmtId="0" fontId="2" fillId="6" borderId="4" xfId="0" applyFont="1" applyFill="1" applyBorder="1"/>
    <xf numFmtId="164" fontId="2" fillId="0" borderId="0" xfId="0" applyNumberFormat="1" applyFont="1"/>
    <xf numFmtId="0" fontId="0" fillId="0" borderId="0" xfId="0" pivotButton="1"/>
    <xf numFmtId="0" fontId="0" fillId="0" borderId="0" xfId="0" applyAlignment="1">
      <alignment horizontal="left"/>
    </xf>
    <xf numFmtId="0" fontId="1" fillId="0" borderId="0" xfId="0" applyFont="1"/>
    <xf numFmtId="164" fontId="1" fillId="0" borderId="0" xfId="0" applyNumberFormat="1" applyFont="1"/>
    <xf numFmtId="0" fontId="9" fillId="8" borderId="2" xfId="0" applyFont="1" applyFill="1" applyBorder="1"/>
    <xf numFmtId="0" fontId="9" fillId="9" borderId="2" xfId="0" applyFont="1" applyFill="1" applyBorder="1"/>
    <xf numFmtId="0" fontId="9" fillId="9" borderId="2" xfId="0" applyFont="1" applyFill="1" applyBorder="1" applyAlignment="1">
      <alignment horizontal="center"/>
    </xf>
    <xf numFmtId="0" fontId="6" fillId="9" borderId="2" xfId="0" applyFont="1" applyFill="1" applyBorder="1" applyAlignment="1">
      <alignment horizontal="center"/>
    </xf>
    <xf numFmtId="0" fontId="0" fillId="10" borderId="2" xfId="0" applyFill="1" applyBorder="1" applyAlignment="1">
      <alignment horizontal="center"/>
    </xf>
    <xf numFmtId="0" fontId="6" fillId="8" borderId="2" xfId="0" applyFont="1" applyFill="1" applyBorder="1"/>
    <xf numFmtId="0" fontId="0" fillId="7" borderId="2" xfId="0" applyFill="1" applyBorder="1" applyAlignment="1">
      <alignment horizontal="center"/>
    </xf>
    <xf numFmtId="0" fontId="0" fillId="7" borderId="2" xfId="0" applyFill="1" applyBorder="1"/>
    <xf numFmtId="0" fontId="0" fillId="11" borderId="0" xfId="0" applyFill="1"/>
    <xf numFmtId="0" fontId="9" fillId="12" borderId="7" xfId="0" applyFont="1" applyFill="1" applyBorder="1"/>
    <xf numFmtId="0" fontId="0" fillId="13" borderId="7" xfId="0" applyFill="1" applyBorder="1"/>
    <xf numFmtId="0" fontId="9" fillId="14" borderId="0" xfId="0" applyFont="1" applyFill="1"/>
    <xf numFmtId="0" fontId="0" fillId="15" borderId="2" xfId="0" applyFill="1" applyBorder="1"/>
    <xf numFmtId="0" fontId="0" fillId="15" borderId="8" xfId="0" applyFill="1" applyBorder="1"/>
    <xf numFmtId="0" fontId="6" fillId="16" borderId="2" xfId="0" applyFont="1" applyFill="1" applyBorder="1"/>
    <xf numFmtId="14" fontId="0" fillId="17" borderId="2" xfId="0" applyNumberFormat="1" applyFill="1" applyBorder="1"/>
    <xf numFmtId="22" fontId="0" fillId="17" borderId="2" xfId="0" applyNumberFormat="1" applyFill="1" applyBorder="1"/>
    <xf numFmtId="0" fontId="0" fillId="18" borderId="0" xfId="0" applyFill="1"/>
    <xf numFmtId="0" fontId="15" fillId="7" borderId="0" xfId="0" applyFont="1" applyFill="1" applyAlignment="1">
      <alignment horizontal="left"/>
    </xf>
  </cellXfs>
  <cellStyles count="1">
    <cellStyle name="Normal" xfId="0" builtinId="0"/>
  </cellStyles>
  <dxfs count="29">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1!PivotTable1</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 1'!$A$4:$A$9</c:f>
              <c:strCache>
                <c:ptCount val="5"/>
                <c:pt idx="0">
                  <c:v>Central</c:v>
                </c:pt>
                <c:pt idx="1">
                  <c:v>East</c:v>
                </c:pt>
                <c:pt idx="2">
                  <c:v>North</c:v>
                </c:pt>
                <c:pt idx="3">
                  <c:v>South</c:v>
                </c:pt>
                <c:pt idx="4">
                  <c:v>West</c:v>
                </c:pt>
              </c:strCache>
            </c:strRef>
          </c:cat>
          <c:val>
            <c:numRef>
              <c:f>'pivot 1'!$B$4:$B$9</c:f>
              <c:numCache>
                <c:formatCode>General</c:formatCode>
                <c:ptCount val="5"/>
                <c:pt idx="0">
                  <c:v>15479.349999999999</c:v>
                </c:pt>
                <c:pt idx="1">
                  <c:v>26009.429999999997</c:v>
                </c:pt>
                <c:pt idx="2">
                  <c:v>26569.110000000004</c:v>
                </c:pt>
                <c:pt idx="3">
                  <c:v>6499.739999999998</c:v>
                </c:pt>
                <c:pt idx="4">
                  <c:v>10099.49</c:v>
                </c:pt>
              </c:numCache>
            </c:numRef>
          </c:val>
          <c:extLst>
            <c:ext xmlns:c16="http://schemas.microsoft.com/office/drawing/2014/chart" uri="{C3380CC4-5D6E-409C-BE32-E72D297353CC}">
              <c16:uniqueId val="{00000000-047E-4936-9538-0457DBE843C6}"/>
            </c:ext>
          </c:extLst>
        </c:ser>
        <c:dLbls>
          <c:showLegendKey val="0"/>
          <c:showVal val="0"/>
          <c:showCatName val="0"/>
          <c:showSerName val="0"/>
          <c:showPercent val="0"/>
          <c:showBubbleSize val="0"/>
        </c:dLbls>
        <c:gapWidth val="164"/>
        <c:overlap val="-22"/>
        <c:axId val="1483624943"/>
        <c:axId val="1483629743"/>
      </c:barChart>
      <c:catAx>
        <c:axId val="14836249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9743"/>
        <c:crosses val="autoZero"/>
        <c:auto val="1"/>
        <c:lblAlgn val="ctr"/>
        <c:lblOffset val="100"/>
        <c:noMultiLvlLbl val="0"/>
      </c:catAx>
      <c:valAx>
        <c:axId val="1483629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2!PivotTable2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2'!$B$3</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5FD-4427-9F76-CCF8E02836DE}"/>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5FD-4427-9F76-CCF8E02836DE}"/>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5FD-4427-9F76-CCF8E02836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2'!$A$4:$A$7</c:f>
              <c:strCache>
                <c:ptCount val="3"/>
                <c:pt idx="0">
                  <c:v>Basic</c:v>
                </c:pt>
                <c:pt idx="1">
                  <c:v>Premium</c:v>
                </c:pt>
                <c:pt idx="2">
                  <c:v>Standard</c:v>
                </c:pt>
              </c:strCache>
            </c:strRef>
          </c:cat>
          <c:val>
            <c:numRef>
              <c:f>'pivot 2'!$B$4:$B$7</c:f>
              <c:numCache>
                <c:formatCode>General</c:formatCode>
                <c:ptCount val="3"/>
                <c:pt idx="0">
                  <c:v>14</c:v>
                </c:pt>
                <c:pt idx="1">
                  <c:v>11</c:v>
                </c:pt>
                <c:pt idx="2">
                  <c:v>18</c:v>
                </c:pt>
              </c:numCache>
            </c:numRef>
          </c:val>
          <c:extLst>
            <c:ext xmlns:c16="http://schemas.microsoft.com/office/drawing/2014/chart" uri="{C3380CC4-5D6E-409C-BE32-E72D297353CC}">
              <c16:uniqueId val="{00000000-E637-4B22-B9A3-52C9F1E1CD3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3!PivotTable3</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solidFill>
            <a:ln>
              <a:noFill/>
            </a:ln>
            <a:effectLst/>
            <a:sp3d/>
          </c:spPr>
          <c:cat>
            <c:strRef>
              <c:f>'pivot 3'!$A$4:$A$48</c:f>
              <c:strCache>
                <c:ptCount val="44"/>
                <c:pt idx="0">
                  <c:v>Arthur Edwards</c:v>
                </c:pt>
                <c:pt idx="1">
                  <c:v>Barbara Young</c:v>
                </c:pt>
                <c:pt idx="2">
                  <c:v>Betty Campbell</c:v>
                </c:pt>
                <c:pt idx="3">
                  <c:v>Carol Evans</c:v>
                </c:pt>
                <c:pt idx="4">
                  <c:v>Charles Allen</c:v>
                </c:pt>
                <c:pt idx="5">
                  <c:v>Cynthia Price</c:v>
                </c:pt>
                <c:pt idx="6">
                  <c:v>Daniel King</c:v>
                </c:pt>
                <c:pt idx="7">
                  <c:v>David Martinez</c:v>
                </c:pt>
                <c:pt idx="8">
                  <c:v>Dorothy Nelson</c:v>
                </c:pt>
                <c:pt idx="9">
                  <c:v>Douglas Watson</c:v>
                </c:pt>
                <c:pt idx="10">
                  <c:v>Edward Mitchell</c:v>
                </c:pt>
                <c:pt idx="11">
                  <c:v>Elizabeth Hall</c:v>
                </c:pt>
                <c:pt idx="12">
                  <c:v>Emma Wilson</c:v>
                </c:pt>
                <c:pt idx="13">
                  <c:v>George Adams</c:v>
                </c:pt>
                <c:pt idx="14">
                  <c:v>Gerald Murphy</c:v>
                </c:pt>
                <c:pt idx="15">
                  <c:v>Harry Morgan</c:v>
                </c:pt>
                <c:pt idx="16">
                  <c:v>Helen Roberts</c:v>
                </c:pt>
                <c:pt idx="17">
                  <c:v>Jennifer Taylor</c:v>
                </c:pt>
                <c:pt idx="18">
                  <c:v>Joseph Jackson</c:v>
                </c:pt>
                <c:pt idx="19">
                  <c:v>Karen Hill</c:v>
                </c:pt>
                <c:pt idx="20">
                  <c:v>Kathleen Bennett</c:v>
                </c:pt>
                <c:pt idx="21">
                  <c:v>Kevin Scott</c:v>
                </c:pt>
                <c:pt idx="22">
                  <c:v>Lawrence Reed</c:v>
                </c:pt>
                <c:pt idx="23">
                  <c:v>Linda Martin</c:v>
                </c:pt>
                <c:pt idx="24">
                  <c:v>Lisa Anderson</c:v>
                </c:pt>
                <c:pt idx="25">
                  <c:v>Margaret Wright</c:v>
                </c:pt>
                <c:pt idx="26">
                  <c:v>Maria Garcia</c:v>
                </c:pt>
                <c:pt idx="27">
                  <c:v>Mark Carter</c:v>
                </c:pt>
                <c:pt idx="28">
                  <c:v>Michael Brown</c:v>
                </c:pt>
                <c:pt idx="29">
                  <c:v>Michelle Rogers</c:v>
                </c:pt>
                <c:pt idx="30">
                  <c:v>Nancy Collins</c:v>
                </c:pt>
                <c:pt idx="31">
                  <c:v>Patricia Moore</c:v>
                </c:pt>
                <c:pt idx="32">
                  <c:v>Paul Baker</c:v>
                </c:pt>
                <c:pt idx="33">
                  <c:v>Peter Richardson</c:v>
                </c:pt>
                <c:pt idx="34">
                  <c:v>Raymond Ross</c:v>
                </c:pt>
                <c:pt idx="35">
                  <c:v>Robert Thomas</c:v>
                </c:pt>
                <c:pt idx="36">
                  <c:v>Ruth Brooks</c:v>
                </c:pt>
                <c:pt idx="37">
                  <c:v>Sandra Phillips</c:v>
                </c:pt>
                <c:pt idx="38">
                  <c:v>Sarah Davis</c:v>
                </c:pt>
                <c:pt idx="39">
                  <c:v>Sharon Butler</c:v>
                </c:pt>
                <c:pt idx="40">
                  <c:v>Steven Turner</c:v>
                </c:pt>
                <c:pt idx="41">
                  <c:v>Susan Green</c:v>
                </c:pt>
                <c:pt idx="42">
                  <c:v>Virginia Sanders</c:v>
                </c:pt>
                <c:pt idx="43">
                  <c:v>William White</c:v>
                </c:pt>
              </c:strCache>
            </c:strRef>
          </c:cat>
          <c:val>
            <c:numRef>
              <c:f>'pivot 3'!$B$4:$B$48</c:f>
              <c:numCache>
                <c:formatCode>General</c:formatCode>
                <c:ptCount val="44"/>
                <c:pt idx="0">
                  <c:v>899.99</c:v>
                </c:pt>
                <c:pt idx="1">
                  <c:v>2639.95</c:v>
                </c:pt>
                <c:pt idx="2">
                  <c:v>1039.97</c:v>
                </c:pt>
                <c:pt idx="3">
                  <c:v>399.98</c:v>
                </c:pt>
                <c:pt idx="4">
                  <c:v>429.97</c:v>
                </c:pt>
                <c:pt idx="5">
                  <c:v>949.98</c:v>
                </c:pt>
                <c:pt idx="6">
                  <c:v>1079.97</c:v>
                </c:pt>
                <c:pt idx="7">
                  <c:v>239.98000000000002</c:v>
                </c:pt>
                <c:pt idx="8">
                  <c:v>1999.96</c:v>
                </c:pt>
                <c:pt idx="9">
                  <c:v>1649.97</c:v>
                </c:pt>
                <c:pt idx="10">
                  <c:v>2589.96</c:v>
                </c:pt>
                <c:pt idx="11">
                  <c:v>789.98</c:v>
                </c:pt>
                <c:pt idx="12">
                  <c:v>89.99</c:v>
                </c:pt>
                <c:pt idx="13">
                  <c:v>1799.98</c:v>
                </c:pt>
                <c:pt idx="14">
                  <c:v>1849.97</c:v>
                </c:pt>
                <c:pt idx="15">
                  <c:v>1489.96</c:v>
                </c:pt>
                <c:pt idx="16">
                  <c:v>1299.97</c:v>
                </c:pt>
                <c:pt idx="17">
                  <c:v>699.99</c:v>
                </c:pt>
                <c:pt idx="18">
                  <c:v>1699.95</c:v>
                </c:pt>
                <c:pt idx="19">
                  <c:v>1989.95</c:v>
                </c:pt>
                <c:pt idx="20">
                  <c:v>939.97</c:v>
                </c:pt>
                <c:pt idx="21">
                  <c:v>899.99</c:v>
                </c:pt>
                <c:pt idx="22">
                  <c:v>1729.95</c:v>
                </c:pt>
                <c:pt idx="23">
                  <c:v>149.99</c:v>
                </c:pt>
                <c:pt idx="24">
                  <c:v>239.98000000000002</c:v>
                </c:pt>
                <c:pt idx="25">
                  <c:v>589.97</c:v>
                </c:pt>
                <c:pt idx="26">
                  <c:v>789.98</c:v>
                </c:pt>
                <c:pt idx="27">
                  <c:v>4079.9299999999994</c:v>
                </c:pt>
                <c:pt idx="28">
                  <c:v>789.98</c:v>
                </c:pt>
                <c:pt idx="29">
                  <c:v>1399.98</c:v>
                </c:pt>
                <c:pt idx="30">
                  <c:v>649.97</c:v>
                </c:pt>
                <c:pt idx="31">
                  <c:v>2119.94</c:v>
                </c:pt>
                <c:pt idx="32">
                  <c:v>1829.94</c:v>
                </c:pt>
                <c:pt idx="33">
                  <c:v>1749.97</c:v>
                </c:pt>
                <c:pt idx="34">
                  <c:v>879.97</c:v>
                </c:pt>
                <c:pt idx="35">
                  <c:v>1169.96</c:v>
                </c:pt>
                <c:pt idx="36">
                  <c:v>849.98</c:v>
                </c:pt>
                <c:pt idx="37">
                  <c:v>1749.97</c:v>
                </c:pt>
                <c:pt idx="38">
                  <c:v>1489.97</c:v>
                </c:pt>
                <c:pt idx="39">
                  <c:v>3399.96</c:v>
                </c:pt>
                <c:pt idx="40">
                  <c:v>239.98000000000002</c:v>
                </c:pt>
                <c:pt idx="41">
                  <c:v>89.99</c:v>
                </c:pt>
                <c:pt idx="42">
                  <c:v>499.98</c:v>
                </c:pt>
                <c:pt idx="43">
                  <c:v>1299.97</c:v>
                </c:pt>
              </c:numCache>
            </c:numRef>
          </c:val>
          <c:smooth val="0"/>
          <c:extLst>
            <c:ext xmlns:c16="http://schemas.microsoft.com/office/drawing/2014/chart" uri="{C3380CC4-5D6E-409C-BE32-E72D297353CC}">
              <c16:uniqueId val="{00000000-1944-4113-B119-68066C3BDA51}"/>
            </c:ext>
          </c:extLst>
        </c:ser>
        <c:dLbls>
          <c:showLegendKey val="0"/>
          <c:showVal val="0"/>
          <c:showCatName val="0"/>
          <c:showSerName val="0"/>
          <c:showPercent val="0"/>
          <c:showBubbleSize val="0"/>
        </c:dLbls>
        <c:axId val="666424079"/>
        <c:axId val="666423247"/>
        <c:axId val="673187311"/>
      </c:line3DChart>
      <c:catAx>
        <c:axId val="66642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auto val="1"/>
        <c:lblAlgn val="ctr"/>
        <c:lblOffset val="100"/>
        <c:noMultiLvlLbl val="0"/>
      </c:catAx>
      <c:valAx>
        <c:axId val="66642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4079"/>
        <c:crosses val="autoZero"/>
        <c:crossBetween val="between"/>
      </c:valAx>
      <c:serAx>
        <c:axId val="67318731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1!PivotTable1</c:name>
    <c:fmtId val="1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25371828521433E-2"/>
          <c:y val="0.26037384691691162"/>
          <c:w val="0.74845603674540684"/>
          <c:h val="0.55842022056065088"/>
        </c:manualLayout>
      </c:layout>
      <c:barChart>
        <c:barDir val="col"/>
        <c:grouping val="clustered"/>
        <c:varyColors val="0"/>
        <c:ser>
          <c:idx val="0"/>
          <c:order val="0"/>
          <c:tx>
            <c:strRef>
              <c:f>'pivot 1'!$B$3</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 1'!$A$4:$A$9</c:f>
              <c:strCache>
                <c:ptCount val="5"/>
                <c:pt idx="0">
                  <c:v>Central</c:v>
                </c:pt>
                <c:pt idx="1">
                  <c:v>East</c:v>
                </c:pt>
                <c:pt idx="2">
                  <c:v>North</c:v>
                </c:pt>
                <c:pt idx="3">
                  <c:v>South</c:v>
                </c:pt>
                <c:pt idx="4">
                  <c:v>West</c:v>
                </c:pt>
              </c:strCache>
            </c:strRef>
          </c:cat>
          <c:val>
            <c:numRef>
              <c:f>'pivot 1'!$B$4:$B$9</c:f>
              <c:numCache>
                <c:formatCode>General</c:formatCode>
                <c:ptCount val="5"/>
                <c:pt idx="0">
                  <c:v>15479.349999999999</c:v>
                </c:pt>
                <c:pt idx="1">
                  <c:v>26009.429999999997</c:v>
                </c:pt>
                <c:pt idx="2">
                  <c:v>26569.110000000004</c:v>
                </c:pt>
                <c:pt idx="3">
                  <c:v>6499.739999999998</c:v>
                </c:pt>
                <c:pt idx="4">
                  <c:v>10099.49</c:v>
                </c:pt>
              </c:numCache>
            </c:numRef>
          </c:val>
          <c:extLst>
            <c:ext xmlns:c16="http://schemas.microsoft.com/office/drawing/2014/chart" uri="{C3380CC4-5D6E-409C-BE32-E72D297353CC}">
              <c16:uniqueId val="{00000000-6E48-4051-8F2E-679E1C66CFFB}"/>
            </c:ext>
          </c:extLst>
        </c:ser>
        <c:dLbls>
          <c:showLegendKey val="0"/>
          <c:showVal val="0"/>
          <c:showCatName val="0"/>
          <c:showSerName val="0"/>
          <c:showPercent val="0"/>
          <c:showBubbleSize val="0"/>
        </c:dLbls>
        <c:gapWidth val="164"/>
        <c:overlap val="-22"/>
        <c:axId val="1483624943"/>
        <c:axId val="1483629743"/>
      </c:barChart>
      <c:catAx>
        <c:axId val="14836249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9743"/>
        <c:crosses val="autoZero"/>
        <c:auto val="1"/>
        <c:lblAlgn val="ctr"/>
        <c:lblOffset val="100"/>
        <c:noMultiLvlLbl val="0"/>
      </c:catAx>
      <c:valAx>
        <c:axId val="1483629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2!PivotTable2</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tint val="65000"/>
            </a:schemeClr>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65000"/>
            </a:schemeClr>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pivotFmt>
      <c:pivotFmt>
        <c:idx val="7"/>
        <c:spPr>
          <a:solidFill>
            <a:schemeClr val="accent5">
              <a:tint val="65000"/>
            </a:schemeClr>
          </a:solidFill>
          <a:ln>
            <a:noFill/>
          </a:ln>
          <a:effectLst>
            <a:outerShdw blurRad="317500" algn="ctr" rotWithShape="0">
              <a:prstClr val="black">
                <a:alpha val="25000"/>
              </a:prstClr>
            </a:outerShdw>
          </a:effectLst>
        </c:spPr>
      </c:pivotFmt>
      <c:pivotFmt>
        <c:idx val="8"/>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a:noFill/>
          </a:ln>
          <a:effectLst>
            <a:outerShdw blurRad="317500" algn="ctr" rotWithShape="0">
              <a:prstClr val="black">
                <a:alpha val="25000"/>
              </a:prstClr>
            </a:outerShdw>
          </a:effectLst>
        </c:spPr>
      </c:pivotFmt>
      <c:pivotFmt>
        <c:idx val="10"/>
        <c:spPr>
          <a:solidFill>
            <a:schemeClr val="accent5"/>
          </a:solidFill>
          <a:ln>
            <a:noFill/>
          </a:ln>
          <a:effectLst>
            <a:outerShdw blurRad="317500" algn="ctr" rotWithShape="0">
              <a:prstClr val="black">
                <a:alpha val="25000"/>
              </a:prstClr>
            </a:outerShdw>
          </a:effectLst>
        </c:spPr>
      </c:pivotFmt>
      <c:pivotFmt>
        <c:idx val="11"/>
        <c:spPr>
          <a:solidFill>
            <a:schemeClr val="accent5">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2'!$B$3</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2DB-4468-9898-9BEE6E98B72A}"/>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2DB-4468-9898-9BEE6E98B72A}"/>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2DB-4468-9898-9BEE6E98B7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2'!$A$4:$A$7</c:f>
              <c:strCache>
                <c:ptCount val="3"/>
                <c:pt idx="0">
                  <c:v>Basic</c:v>
                </c:pt>
                <c:pt idx="1">
                  <c:v>Premium</c:v>
                </c:pt>
                <c:pt idx="2">
                  <c:v>Standard</c:v>
                </c:pt>
              </c:strCache>
            </c:strRef>
          </c:cat>
          <c:val>
            <c:numRef>
              <c:f>'pivot 2'!$B$4:$B$7</c:f>
              <c:numCache>
                <c:formatCode>General</c:formatCode>
                <c:ptCount val="3"/>
                <c:pt idx="0">
                  <c:v>14</c:v>
                </c:pt>
                <c:pt idx="1">
                  <c:v>11</c:v>
                </c:pt>
                <c:pt idx="2">
                  <c:v>18</c:v>
                </c:pt>
              </c:numCache>
            </c:numRef>
          </c:val>
          <c:extLst>
            <c:ext xmlns:c16="http://schemas.microsoft.com/office/drawing/2014/chart" uri="{C3380CC4-5D6E-409C-BE32-E72D297353CC}">
              <c16:uniqueId val="{00000006-C2DB-4468-9898-9BEE6E98B7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3!PivotTable3</c:name>
    <c:fmtId val="4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solidFill>
            <a:ln>
              <a:noFill/>
            </a:ln>
            <a:effectLst/>
            <a:sp3d/>
          </c:spPr>
          <c:cat>
            <c:strRef>
              <c:f>'pivot 3'!$A$4:$A$48</c:f>
              <c:strCache>
                <c:ptCount val="44"/>
                <c:pt idx="0">
                  <c:v>Arthur Edwards</c:v>
                </c:pt>
                <c:pt idx="1">
                  <c:v>Barbara Young</c:v>
                </c:pt>
                <c:pt idx="2">
                  <c:v>Betty Campbell</c:v>
                </c:pt>
                <c:pt idx="3">
                  <c:v>Carol Evans</c:v>
                </c:pt>
                <c:pt idx="4">
                  <c:v>Charles Allen</c:v>
                </c:pt>
                <c:pt idx="5">
                  <c:v>Cynthia Price</c:v>
                </c:pt>
                <c:pt idx="6">
                  <c:v>Daniel King</c:v>
                </c:pt>
                <c:pt idx="7">
                  <c:v>David Martinez</c:v>
                </c:pt>
                <c:pt idx="8">
                  <c:v>Dorothy Nelson</c:v>
                </c:pt>
                <c:pt idx="9">
                  <c:v>Douglas Watson</c:v>
                </c:pt>
                <c:pt idx="10">
                  <c:v>Edward Mitchell</c:v>
                </c:pt>
                <c:pt idx="11">
                  <c:v>Elizabeth Hall</c:v>
                </c:pt>
                <c:pt idx="12">
                  <c:v>Emma Wilson</c:v>
                </c:pt>
                <c:pt idx="13">
                  <c:v>George Adams</c:v>
                </c:pt>
                <c:pt idx="14">
                  <c:v>Gerald Murphy</c:v>
                </c:pt>
                <c:pt idx="15">
                  <c:v>Harry Morgan</c:v>
                </c:pt>
                <c:pt idx="16">
                  <c:v>Helen Roberts</c:v>
                </c:pt>
                <c:pt idx="17">
                  <c:v>Jennifer Taylor</c:v>
                </c:pt>
                <c:pt idx="18">
                  <c:v>Joseph Jackson</c:v>
                </c:pt>
                <c:pt idx="19">
                  <c:v>Karen Hill</c:v>
                </c:pt>
                <c:pt idx="20">
                  <c:v>Kathleen Bennett</c:v>
                </c:pt>
                <c:pt idx="21">
                  <c:v>Kevin Scott</c:v>
                </c:pt>
                <c:pt idx="22">
                  <c:v>Lawrence Reed</c:v>
                </c:pt>
                <c:pt idx="23">
                  <c:v>Linda Martin</c:v>
                </c:pt>
                <c:pt idx="24">
                  <c:v>Lisa Anderson</c:v>
                </c:pt>
                <c:pt idx="25">
                  <c:v>Margaret Wright</c:v>
                </c:pt>
                <c:pt idx="26">
                  <c:v>Maria Garcia</c:v>
                </c:pt>
                <c:pt idx="27">
                  <c:v>Mark Carter</c:v>
                </c:pt>
                <c:pt idx="28">
                  <c:v>Michael Brown</c:v>
                </c:pt>
                <c:pt idx="29">
                  <c:v>Michelle Rogers</c:v>
                </c:pt>
                <c:pt idx="30">
                  <c:v>Nancy Collins</c:v>
                </c:pt>
                <c:pt idx="31">
                  <c:v>Patricia Moore</c:v>
                </c:pt>
                <c:pt idx="32">
                  <c:v>Paul Baker</c:v>
                </c:pt>
                <c:pt idx="33">
                  <c:v>Peter Richardson</c:v>
                </c:pt>
                <c:pt idx="34">
                  <c:v>Raymond Ross</c:v>
                </c:pt>
                <c:pt idx="35">
                  <c:v>Robert Thomas</c:v>
                </c:pt>
                <c:pt idx="36">
                  <c:v>Ruth Brooks</c:v>
                </c:pt>
                <c:pt idx="37">
                  <c:v>Sandra Phillips</c:v>
                </c:pt>
                <c:pt idx="38">
                  <c:v>Sarah Davis</c:v>
                </c:pt>
                <c:pt idx="39">
                  <c:v>Sharon Butler</c:v>
                </c:pt>
                <c:pt idx="40">
                  <c:v>Steven Turner</c:v>
                </c:pt>
                <c:pt idx="41">
                  <c:v>Susan Green</c:v>
                </c:pt>
                <c:pt idx="42">
                  <c:v>Virginia Sanders</c:v>
                </c:pt>
                <c:pt idx="43">
                  <c:v>William White</c:v>
                </c:pt>
              </c:strCache>
            </c:strRef>
          </c:cat>
          <c:val>
            <c:numRef>
              <c:f>'pivot 3'!$B$4:$B$48</c:f>
              <c:numCache>
                <c:formatCode>General</c:formatCode>
                <c:ptCount val="44"/>
                <c:pt idx="0">
                  <c:v>899.99</c:v>
                </c:pt>
                <c:pt idx="1">
                  <c:v>2639.95</c:v>
                </c:pt>
                <c:pt idx="2">
                  <c:v>1039.97</c:v>
                </c:pt>
                <c:pt idx="3">
                  <c:v>399.98</c:v>
                </c:pt>
                <c:pt idx="4">
                  <c:v>429.97</c:v>
                </c:pt>
                <c:pt idx="5">
                  <c:v>949.98</c:v>
                </c:pt>
                <c:pt idx="6">
                  <c:v>1079.97</c:v>
                </c:pt>
                <c:pt idx="7">
                  <c:v>239.98000000000002</c:v>
                </c:pt>
                <c:pt idx="8">
                  <c:v>1999.96</c:v>
                </c:pt>
                <c:pt idx="9">
                  <c:v>1649.97</c:v>
                </c:pt>
                <c:pt idx="10">
                  <c:v>2589.96</c:v>
                </c:pt>
                <c:pt idx="11">
                  <c:v>789.98</c:v>
                </c:pt>
                <c:pt idx="12">
                  <c:v>89.99</c:v>
                </c:pt>
                <c:pt idx="13">
                  <c:v>1799.98</c:v>
                </c:pt>
                <c:pt idx="14">
                  <c:v>1849.97</c:v>
                </c:pt>
                <c:pt idx="15">
                  <c:v>1489.96</c:v>
                </c:pt>
                <c:pt idx="16">
                  <c:v>1299.97</c:v>
                </c:pt>
                <c:pt idx="17">
                  <c:v>699.99</c:v>
                </c:pt>
                <c:pt idx="18">
                  <c:v>1699.95</c:v>
                </c:pt>
                <c:pt idx="19">
                  <c:v>1989.95</c:v>
                </c:pt>
                <c:pt idx="20">
                  <c:v>939.97</c:v>
                </c:pt>
                <c:pt idx="21">
                  <c:v>899.99</c:v>
                </c:pt>
                <c:pt idx="22">
                  <c:v>1729.95</c:v>
                </c:pt>
                <c:pt idx="23">
                  <c:v>149.99</c:v>
                </c:pt>
                <c:pt idx="24">
                  <c:v>239.98000000000002</c:v>
                </c:pt>
                <c:pt idx="25">
                  <c:v>589.97</c:v>
                </c:pt>
                <c:pt idx="26">
                  <c:v>789.98</c:v>
                </c:pt>
                <c:pt idx="27">
                  <c:v>4079.9299999999994</c:v>
                </c:pt>
                <c:pt idx="28">
                  <c:v>789.98</c:v>
                </c:pt>
                <c:pt idx="29">
                  <c:v>1399.98</c:v>
                </c:pt>
                <c:pt idx="30">
                  <c:v>649.97</c:v>
                </c:pt>
                <c:pt idx="31">
                  <c:v>2119.94</c:v>
                </c:pt>
                <c:pt idx="32">
                  <c:v>1829.94</c:v>
                </c:pt>
                <c:pt idx="33">
                  <c:v>1749.97</c:v>
                </c:pt>
                <c:pt idx="34">
                  <c:v>879.97</c:v>
                </c:pt>
                <c:pt idx="35">
                  <c:v>1169.96</c:v>
                </c:pt>
                <c:pt idx="36">
                  <c:v>849.98</c:v>
                </c:pt>
                <c:pt idx="37">
                  <c:v>1749.97</c:v>
                </c:pt>
                <c:pt idx="38">
                  <c:v>1489.97</c:v>
                </c:pt>
                <c:pt idx="39">
                  <c:v>3399.96</c:v>
                </c:pt>
                <c:pt idx="40">
                  <c:v>239.98000000000002</c:v>
                </c:pt>
                <c:pt idx="41">
                  <c:v>89.99</c:v>
                </c:pt>
                <c:pt idx="42">
                  <c:v>499.98</c:v>
                </c:pt>
                <c:pt idx="43">
                  <c:v>1299.97</c:v>
                </c:pt>
              </c:numCache>
            </c:numRef>
          </c:val>
          <c:smooth val="0"/>
          <c:extLst>
            <c:ext xmlns:c16="http://schemas.microsoft.com/office/drawing/2014/chart" uri="{C3380CC4-5D6E-409C-BE32-E72D297353CC}">
              <c16:uniqueId val="{00000000-E8E1-4E4A-BA2A-5CC3101B7EF7}"/>
            </c:ext>
          </c:extLst>
        </c:ser>
        <c:dLbls>
          <c:showLegendKey val="0"/>
          <c:showVal val="0"/>
          <c:showCatName val="0"/>
          <c:showSerName val="0"/>
          <c:showPercent val="0"/>
          <c:showBubbleSize val="0"/>
        </c:dLbls>
        <c:axId val="666424079"/>
        <c:axId val="666423247"/>
        <c:axId val="673187311"/>
      </c:line3DChart>
      <c:catAx>
        <c:axId val="66642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auto val="1"/>
        <c:lblAlgn val="ctr"/>
        <c:lblOffset val="100"/>
        <c:noMultiLvlLbl val="0"/>
      </c:catAx>
      <c:valAx>
        <c:axId val="66642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4079"/>
        <c:crosses val="autoZero"/>
        <c:crossBetween val="between"/>
      </c:valAx>
      <c:serAx>
        <c:axId val="67318731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171450</xdr:rowOff>
    </xdr:from>
    <xdr:to>
      <xdr:col>10</xdr:col>
      <xdr:colOff>304800</xdr:colOff>
      <xdr:row>16</xdr:row>
      <xdr:rowOff>171450</xdr:rowOff>
    </xdr:to>
    <xdr:graphicFrame macro="">
      <xdr:nvGraphicFramePr>
        <xdr:cNvPr id="2" name="Chart 1">
          <a:extLst>
            <a:ext uri="{FF2B5EF4-FFF2-40B4-BE49-F238E27FC236}">
              <a16:creationId xmlns:a16="http://schemas.microsoft.com/office/drawing/2014/main" id="{00675E2B-1D96-8FC6-9527-87B60269C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312420</xdr:colOff>
      <xdr:row>11</xdr:row>
      <xdr:rowOff>45721</xdr:rowOff>
    </xdr:from>
    <xdr:to>
      <xdr:col>1</xdr:col>
      <xdr:colOff>1280160</xdr:colOff>
      <xdr:row>19</xdr:row>
      <xdr:rowOff>175261</xdr:rowOff>
    </xdr:to>
    <mc:AlternateContent xmlns:mc="http://schemas.openxmlformats.org/markup-compatibility/2006" xmlns:a14="http://schemas.microsoft.com/office/drawing/2010/main">
      <mc:Choice Requires="a14">
        <xdr:graphicFrame macro="">
          <xdr:nvGraphicFramePr>
            <xdr:cNvPr id="3" name="Customer_Segment">
              <a:extLst>
                <a:ext uri="{FF2B5EF4-FFF2-40B4-BE49-F238E27FC236}">
                  <a16:creationId xmlns:a16="http://schemas.microsoft.com/office/drawing/2014/main" id="{29D44A84-DCFD-607F-B61C-8C7C77C4BEA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12420" y="205740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18</xdr:row>
      <xdr:rowOff>15240</xdr:rowOff>
    </xdr:from>
    <xdr:to>
      <xdr:col>8</xdr:col>
      <xdr:colOff>312420</xdr:colOff>
      <xdr:row>25</xdr:row>
      <xdr:rowOff>106680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B7F141EA-6900-8368-11B3-D1D252DD557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849880" y="33070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19050</xdr:rowOff>
    </xdr:from>
    <xdr:to>
      <xdr:col>10</xdr:col>
      <xdr:colOff>304800</xdr:colOff>
      <xdr:row>17</xdr:row>
      <xdr:rowOff>19050</xdr:rowOff>
    </xdr:to>
    <xdr:graphicFrame macro="">
      <xdr:nvGraphicFramePr>
        <xdr:cNvPr id="2" name="Chart 1">
          <a:extLst>
            <a:ext uri="{FF2B5EF4-FFF2-40B4-BE49-F238E27FC236}">
              <a16:creationId xmlns:a16="http://schemas.microsoft.com/office/drawing/2014/main" id="{0CA0DC5C-714C-D2C2-75A7-648D1D07C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350520</xdr:colOff>
      <xdr:row>9</xdr:row>
      <xdr:rowOff>175261</xdr:rowOff>
    </xdr:from>
    <xdr:to>
      <xdr:col>1</xdr:col>
      <xdr:colOff>1318260</xdr:colOff>
      <xdr:row>18</xdr:row>
      <xdr:rowOff>7621</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6007218C-D800-2D9B-93DB-8A08C0DEE6F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50520" y="182118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18</xdr:row>
      <xdr:rowOff>22860</xdr:rowOff>
    </xdr:from>
    <xdr:to>
      <xdr:col>8</xdr:col>
      <xdr:colOff>304800</xdr:colOff>
      <xdr:row>25</xdr:row>
      <xdr:rowOff>114300</xdr:rowOff>
    </xdr:to>
    <mc:AlternateContent xmlns:mc="http://schemas.openxmlformats.org/markup-compatibility/2006" xmlns:tsle="http://schemas.microsoft.com/office/drawing/2012/timeslicer">
      <mc:Choice Requires="tsle">
        <xdr:graphicFrame macro="">
          <xdr:nvGraphicFramePr>
            <xdr:cNvPr id="3" name="Date 2">
              <a:extLst>
                <a:ext uri="{FF2B5EF4-FFF2-40B4-BE49-F238E27FC236}">
                  <a16:creationId xmlns:a16="http://schemas.microsoft.com/office/drawing/2014/main" id="{239BFE0A-B8FB-BE80-4BC1-826325D7132B}"/>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971800" y="33147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179070</xdr:rowOff>
    </xdr:from>
    <xdr:to>
      <xdr:col>10</xdr:col>
      <xdr:colOff>0</xdr:colOff>
      <xdr:row>16</xdr:row>
      <xdr:rowOff>175260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594360</xdr:colOff>
      <xdr:row>2</xdr:row>
      <xdr:rowOff>7621</xdr:rowOff>
    </xdr:from>
    <xdr:to>
      <xdr:col>13</xdr:col>
      <xdr:colOff>601980</xdr:colOff>
      <xdr:row>15</xdr:row>
      <xdr:rowOff>30481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00" y="373381"/>
              <a:ext cx="183642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19</xdr:row>
      <xdr:rowOff>7620</xdr:rowOff>
    </xdr:from>
    <xdr:to>
      <xdr:col>11</xdr:col>
      <xdr:colOff>0</xdr:colOff>
      <xdr:row>26</xdr:row>
      <xdr:rowOff>30480</xdr:rowOff>
    </xdr:to>
    <mc:AlternateContent xmlns:mc="http://schemas.openxmlformats.org/markup-compatibility/2006" xmlns:tsle="http://schemas.microsoft.com/office/drawing/2012/timeslicer">
      <mc:Choice Requires="tsle">
        <xdr:graphicFrame macro="">
          <xdr:nvGraphicFramePr>
            <xdr:cNvPr id="2" name="Customer_Since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2/timeslicer">
              <tsle:timeslicer name="Customer_Since 2"/>
            </a:graphicData>
          </a:graphic>
        </xdr:graphicFrame>
      </mc:Choice>
      <mc:Fallback xmlns="">
        <xdr:sp macro="" textlink="">
          <xdr:nvSpPr>
            <xdr:cNvPr id="0" name=""/>
            <xdr:cNvSpPr>
              <a:spLocks noTextEdit="1"/>
            </xdr:cNvSpPr>
          </xdr:nvSpPr>
          <xdr:spPr>
            <a:xfrm>
              <a:off x="3368040" y="3482340"/>
              <a:ext cx="4267200" cy="130302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476474</xdr:colOff>
      <xdr:row>4</xdr:row>
      <xdr:rowOff>42134</xdr:rowOff>
    </xdr:from>
    <xdr:to>
      <xdr:col>4</xdr:col>
      <xdr:colOff>484094</xdr:colOff>
      <xdr:row>8</xdr:row>
      <xdr:rowOff>15240</xdr:rowOff>
    </xdr:to>
    <xdr:sp macro="" textlink="">
      <xdr:nvSpPr>
        <xdr:cNvPr id="3" name="Rounded Rectangle 2">
          <a:extLst>
            <a:ext uri="{FF2B5EF4-FFF2-40B4-BE49-F238E27FC236}">
              <a16:creationId xmlns:a16="http://schemas.microsoft.com/office/drawing/2014/main" id="{00000000-0008-0000-0600-000003000000}"/>
            </a:ext>
          </a:extLst>
        </xdr:cNvPr>
        <xdr:cNvSpPr/>
      </xdr:nvSpPr>
      <xdr:spPr>
        <a:xfrm>
          <a:off x="1086074" y="759310"/>
          <a:ext cx="1836420" cy="690283"/>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TOTAL SALES</a:t>
          </a:r>
        </a:p>
        <a:p>
          <a:pPr algn="l"/>
          <a:endParaRPr lang="en-US" sz="1100" b="1" i="1"/>
        </a:p>
        <a:p>
          <a:pPr algn="l"/>
          <a:r>
            <a:rPr lang="en-US" sz="1100" b="1" i="1" baseline="0"/>
            <a:t>                22919247</a:t>
          </a:r>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a:p>
      </xdr:txBody>
    </xdr:sp>
    <xdr:clientData/>
  </xdr:twoCellAnchor>
  <xdr:twoCellAnchor>
    <xdr:from>
      <xdr:col>6</xdr:col>
      <xdr:colOff>513678</xdr:colOff>
      <xdr:row>4</xdr:row>
      <xdr:rowOff>61408</xdr:rowOff>
    </xdr:from>
    <xdr:to>
      <xdr:col>9</xdr:col>
      <xdr:colOff>521298</xdr:colOff>
      <xdr:row>8</xdr:row>
      <xdr:rowOff>53788</xdr:rowOff>
    </xdr:to>
    <xdr:sp macro="" textlink="">
      <xdr:nvSpPr>
        <xdr:cNvPr id="5" name="Rounded Rectangle 4">
          <a:extLst>
            <a:ext uri="{FF2B5EF4-FFF2-40B4-BE49-F238E27FC236}">
              <a16:creationId xmlns:a16="http://schemas.microsoft.com/office/drawing/2014/main" id="{00000000-0008-0000-0600-000005000000}"/>
            </a:ext>
          </a:extLst>
        </xdr:cNvPr>
        <xdr:cNvSpPr/>
      </xdr:nvSpPr>
      <xdr:spPr>
        <a:xfrm>
          <a:off x="4171278" y="778584"/>
          <a:ext cx="1836420" cy="709557"/>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TOTAL</a:t>
          </a:r>
          <a:r>
            <a:rPr lang="en-US" sz="1100" b="1" i="1" u="sng" baseline="0"/>
            <a:t> CUSTOMERS</a:t>
          </a:r>
        </a:p>
        <a:p>
          <a:pPr algn="l"/>
          <a:endParaRPr lang="en-US" sz="1100" b="1" i="1" u="sng" baseline="0"/>
        </a:p>
        <a:p>
          <a:pPr algn="l"/>
          <a:r>
            <a:rPr lang="en-US" sz="1100" b="1" i="1" u="none" baseline="0"/>
            <a:t>                      252</a:t>
          </a:r>
        </a:p>
      </xdr:txBody>
    </xdr:sp>
    <xdr:clientData/>
  </xdr:twoCellAnchor>
  <xdr:twoCellAnchor>
    <xdr:from>
      <xdr:col>12</xdr:col>
      <xdr:colOff>231738</xdr:colOff>
      <xdr:row>4</xdr:row>
      <xdr:rowOff>42134</xdr:rowOff>
    </xdr:from>
    <xdr:to>
      <xdr:col>15</xdr:col>
      <xdr:colOff>216498</xdr:colOff>
      <xdr:row>8</xdr:row>
      <xdr:rowOff>42134</xdr:rowOff>
    </xdr:to>
    <xdr:sp macro="" textlink="">
      <xdr:nvSpPr>
        <xdr:cNvPr id="6" name="Rounded Rectangle 5">
          <a:extLst>
            <a:ext uri="{FF2B5EF4-FFF2-40B4-BE49-F238E27FC236}">
              <a16:creationId xmlns:a16="http://schemas.microsoft.com/office/drawing/2014/main" id="{00000000-0008-0000-0600-000006000000}"/>
            </a:ext>
          </a:extLst>
        </xdr:cNvPr>
        <xdr:cNvSpPr/>
      </xdr:nvSpPr>
      <xdr:spPr>
        <a:xfrm>
          <a:off x="7546938" y="759310"/>
          <a:ext cx="1813560" cy="717177"/>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SUM</a:t>
          </a:r>
          <a:r>
            <a:rPr lang="en-US" sz="1100" b="1" i="1" u="sng" baseline="0"/>
            <a:t> OF CATEGORY</a:t>
          </a:r>
        </a:p>
        <a:p>
          <a:pPr algn="l"/>
          <a:endParaRPr lang="en-US" sz="1100" b="1" i="1" u="sng" baseline="0"/>
        </a:p>
        <a:p>
          <a:pPr algn="l"/>
          <a:r>
            <a:rPr lang="en-US" sz="1100" b="1" i="1" u="none" baseline="0"/>
            <a:t>                12059.76</a:t>
          </a:r>
          <a:endParaRPr lang="en-US" sz="1100" b="1" i="1" u="none"/>
        </a:p>
      </xdr:txBody>
    </xdr:sp>
    <xdr:clientData/>
  </xdr:twoCellAnchor>
  <xdr:twoCellAnchor>
    <xdr:from>
      <xdr:col>18</xdr:col>
      <xdr:colOff>28239</xdr:colOff>
      <xdr:row>4</xdr:row>
      <xdr:rowOff>25549</xdr:rowOff>
    </xdr:from>
    <xdr:to>
      <xdr:col>21</xdr:col>
      <xdr:colOff>58719</xdr:colOff>
      <xdr:row>8</xdr:row>
      <xdr:rowOff>48409</xdr:rowOff>
    </xdr:to>
    <xdr:sp macro="" textlink="">
      <xdr:nvSpPr>
        <xdr:cNvPr id="7" name="Rounded Rectangle 6">
          <a:extLst>
            <a:ext uri="{FF2B5EF4-FFF2-40B4-BE49-F238E27FC236}">
              <a16:creationId xmlns:a16="http://schemas.microsoft.com/office/drawing/2014/main" id="{00000000-0008-0000-0600-000007000000}"/>
            </a:ext>
          </a:extLst>
        </xdr:cNvPr>
        <xdr:cNvSpPr/>
      </xdr:nvSpPr>
      <xdr:spPr>
        <a:xfrm>
          <a:off x="11001039" y="742725"/>
          <a:ext cx="1859280" cy="740037"/>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i="1" u="sng"/>
            <a:t> HIGHEST SOLD PRODUCT</a:t>
          </a:r>
        </a:p>
        <a:p>
          <a:pPr algn="l"/>
          <a:endParaRPr lang="en-US" sz="1100"/>
        </a:p>
        <a:p>
          <a:pPr algn="l"/>
          <a:r>
            <a:rPr lang="en-US" sz="1100"/>
            <a:t>                 </a:t>
          </a:r>
          <a:r>
            <a:rPr lang="en-US" sz="1100" b="1"/>
            <a:t>BLENDER </a:t>
          </a:r>
        </a:p>
      </xdr:txBody>
    </xdr:sp>
    <xdr:clientData/>
  </xdr:twoCellAnchor>
  <xdr:twoCellAnchor>
    <xdr:from>
      <xdr:col>23</xdr:col>
      <xdr:colOff>213809</xdr:colOff>
      <xdr:row>4</xdr:row>
      <xdr:rowOff>6275</xdr:rowOff>
    </xdr:from>
    <xdr:to>
      <xdr:col>26</xdr:col>
      <xdr:colOff>198569</xdr:colOff>
      <xdr:row>8</xdr:row>
      <xdr:rowOff>13895</xdr:rowOff>
    </xdr:to>
    <xdr:sp macro="" textlink="">
      <xdr:nvSpPr>
        <xdr:cNvPr id="8" name="Rounded Rectangle 7">
          <a:extLst>
            <a:ext uri="{FF2B5EF4-FFF2-40B4-BE49-F238E27FC236}">
              <a16:creationId xmlns:a16="http://schemas.microsoft.com/office/drawing/2014/main" id="{00000000-0008-0000-0600-000008000000}"/>
            </a:ext>
          </a:extLst>
        </xdr:cNvPr>
        <xdr:cNvSpPr/>
      </xdr:nvSpPr>
      <xdr:spPr>
        <a:xfrm>
          <a:off x="14234609" y="723451"/>
          <a:ext cx="1813560" cy="724797"/>
        </a:xfrm>
        <a:prstGeom prst="roundRect">
          <a:avLst/>
        </a:prstGeom>
        <a:solidFill>
          <a:schemeClr val="accent5">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HIGHEST</a:t>
          </a:r>
          <a:r>
            <a:rPr lang="en-US" sz="1100" b="1" i="1" u="sng" baseline="0"/>
            <a:t> CUSTOMER</a:t>
          </a:r>
        </a:p>
        <a:p>
          <a:pPr algn="l"/>
          <a:endParaRPr lang="en-US" sz="1100" b="1" i="1" u="sng" baseline="0"/>
        </a:p>
        <a:p>
          <a:pPr algn="l"/>
          <a:r>
            <a:rPr lang="en-US" sz="1100" b="1" i="1" u="none" baseline="0"/>
            <a:t>         JENIFER TAYLOR</a:t>
          </a:r>
          <a:endParaRPr lang="en-US" sz="1100" b="1" i="1" u="none"/>
        </a:p>
      </xdr:txBody>
    </xdr:sp>
    <xdr:clientData/>
  </xdr:twoCellAnchor>
  <xdr:twoCellAnchor>
    <xdr:from>
      <xdr:col>7</xdr:col>
      <xdr:colOff>376518</xdr:colOff>
      <xdr:row>10</xdr:row>
      <xdr:rowOff>161365</xdr:rowOff>
    </xdr:from>
    <xdr:to>
      <xdr:col>16</xdr:col>
      <xdr:colOff>457200</xdr:colOff>
      <xdr:row>16</xdr:row>
      <xdr:rowOff>26894</xdr:rowOff>
    </xdr:to>
    <xdr:sp macro="" textlink="">
      <xdr:nvSpPr>
        <xdr:cNvPr id="9" name="Rounded Rectangle 8">
          <a:extLst>
            <a:ext uri="{FF2B5EF4-FFF2-40B4-BE49-F238E27FC236}">
              <a16:creationId xmlns:a16="http://schemas.microsoft.com/office/drawing/2014/main" id="{00000000-0008-0000-0600-000009000000}"/>
            </a:ext>
          </a:extLst>
        </xdr:cNvPr>
        <xdr:cNvSpPr/>
      </xdr:nvSpPr>
      <xdr:spPr>
        <a:xfrm>
          <a:off x="4643718" y="1954306"/>
          <a:ext cx="5567082" cy="941294"/>
        </a:xfrm>
        <a:prstGeom prst="roundRect">
          <a:avLst/>
        </a:prstGeom>
        <a:solidFill>
          <a:schemeClr val="accent5">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i="1" u="none"/>
            <a:t>                                      </a:t>
          </a:r>
          <a:r>
            <a:rPr lang="en-US" sz="1100" b="1" i="1" u="none" baseline="0"/>
            <a:t>                              </a:t>
          </a:r>
          <a:r>
            <a:rPr lang="en-US" sz="1400" b="1" i="1" u="sng"/>
            <a:t>PIVOT TABLE -</a:t>
          </a:r>
          <a:r>
            <a:rPr lang="en-US" sz="1400" b="1" i="1" u="sng" baseline="0"/>
            <a:t> 1 </a:t>
          </a:r>
        </a:p>
        <a:p>
          <a:pPr algn="l"/>
          <a:r>
            <a:rPr lang="en-US" sz="1100" b="1" i="1" u="sng" baseline="0"/>
            <a:t>                         </a:t>
          </a:r>
        </a:p>
        <a:p>
          <a:pPr algn="l"/>
          <a:r>
            <a:rPr lang="en-US" sz="1100" b="1" i="1" u="none" baseline="0"/>
            <a:t>                                                         </a:t>
          </a:r>
          <a:r>
            <a:rPr lang="en-US" sz="1100" b="1" i="1" u="sng" baseline="0"/>
            <a:t> </a:t>
          </a:r>
          <a:r>
            <a:rPr lang="en-US" sz="1200" b="1" i="1" u="sng" baseline="0"/>
            <a:t>REGION VS TOTAL_AMOUNT</a:t>
          </a:r>
          <a:endParaRPr lang="en-US" sz="1200" b="1" i="1" u="sng"/>
        </a:p>
      </xdr:txBody>
    </xdr:sp>
    <xdr:clientData/>
  </xdr:twoCellAnchor>
  <xdr:twoCellAnchor>
    <xdr:from>
      <xdr:col>7</xdr:col>
      <xdr:colOff>188259</xdr:colOff>
      <xdr:row>37</xdr:row>
      <xdr:rowOff>170330</xdr:rowOff>
    </xdr:from>
    <xdr:to>
      <xdr:col>16</xdr:col>
      <xdr:colOff>439271</xdr:colOff>
      <xdr:row>43</xdr:row>
      <xdr:rowOff>35859</xdr:rowOff>
    </xdr:to>
    <xdr:sp macro="" textlink="">
      <xdr:nvSpPr>
        <xdr:cNvPr id="14" name="Rounded Rectangle 13">
          <a:extLst>
            <a:ext uri="{FF2B5EF4-FFF2-40B4-BE49-F238E27FC236}">
              <a16:creationId xmlns:a16="http://schemas.microsoft.com/office/drawing/2014/main" id="{00000000-0008-0000-0600-00000E000000}"/>
            </a:ext>
          </a:extLst>
        </xdr:cNvPr>
        <xdr:cNvSpPr/>
      </xdr:nvSpPr>
      <xdr:spPr>
        <a:xfrm>
          <a:off x="4455459" y="6804212"/>
          <a:ext cx="5737412" cy="941294"/>
        </a:xfrm>
        <a:prstGeom prst="roundRect">
          <a:avLst/>
        </a:prstGeom>
        <a:solidFill>
          <a:schemeClr val="accent5">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400"/>
            <a:t>                                                     </a:t>
          </a:r>
          <a:r>
            <a:rPr lang="en-US" sz="1400" b="1" i="1" u="sng"/>
            <a:t>PIVOT TABLE - 2</a:t>
          </a:r>
        </a:p>
        <a:p>
          <a:pPr algn="l"/>
          <a:endParaRPr lang="en-US" sz="1400" b="1" i="1" u="sng"/>
        </a:p>
        <a:p>
          <a:pPr algn="l"/>
          <a:r>
            <a:rPr lang="en-US" sz="1400" b="1" i="1" u="none"/>
            <a:t>                                 </a:t>
          </a:r>
          <a:r>
            <a:rPr lang="en-US" sz="1200" b="1" i="1" u="sng"/>
            <a:t>CUSTOMER_SEGMENT</a:t>
          </a:r>
          <a:r>
            <a:rPr lang="en-US" sz="1200" b="1" i="1" u="sng" baseline="0"/>
            <a:t> VS TRANSACTION_ID</a:t>
          </a:r>
          <a:endParaRPr lang="en-US" sz="1400" b="1" i="1" u="sng"/>
        </a:p>
      </xdr:txBody>
    </xdr:sp>
    <xdr:clientData/>
  </xdr:twoCellAnchor>
  <xdr:twoCellAnchor>
    <xdr:from>
      <xdr:col>7</xdr:col>
      <xdr:colOff>152400</xdr:colOff>
      <xdr:row>61</xdr:row>
      <xdr:rowOff>134471</xdr:rowOff>
    </xdr:from>
    <xdr:to>
      <xdr:col>16</xdr:col>
      <xdr:colOff>376518</xdr:colOff>
      <xdr:row>67</xdr:row>
      <xdr:rowOff>125506</xdr:rowOff>
    </xdr:to>
    <xdr:sp macro="" textlink="">
      <xdr:nvSpPr>
        <xdr:cNvPr id="19" name="Rounded Rectangle 18">
          <a:extLst>
            <a:ext uri="{FF2B5EF4-FFF2-40B4-BE49-F238E27FC236}">
              <a16:creationId xmlns:a16="http://schemas.microsoft.com/office/drawing/2014/main" id="{00000000-0008-0000-0600-000013000000}"/>
            </a:ext>
          </a:extLst>
        </xdr:cNvPr>
        <xdr:cNvSpPr/>
      </xdr:nvSpPr>
      <xdr:spPr>
        <a:xfrm>
          <a:off x="4419600" y="11071412"/>
          <a:ext cx="5710518" cy="1066800"/>
        </a:xfrm>
        <a:prstGeom prst="roundRect">
          <a:avLst/>
        </a:prstGeom>
        <a:solidFill>
          <a:schemeClr val="accent5">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400" b="1" i="1" u="none"/>
            <a:t>                                                  </a:t>
          </a:r>
          <a:r>
            <a:rPr lang="en-US" sz="1400" b="1" i="1" u="sng"/>
            <a:t>PIVOT</a:t>
          </a:r>
          <a:r>
            <a:rPr lang="en-US" sz="1400" b="1" i="1" u="sng" baseline="0"/>
            <a:t> TABLE  -  3</a:t>
          </a:r>
        </a:p>
        <a:p>
          <a:pPr algn="l"/>
          <a:endParaRPr lang="en-US" sz="1400" b="1" i="1" u="sng" baseline="0"/>
        </a:p>
        <a:p>
          <a:pPr algn="l"/>
          <a:r>
            <a:rPr lang="en-US" sz="1400" b="1" i="1" u="none" baseline="0"/>
            <a:t>	               </a:t>
          </a:r>
          <a:r>
            <a:rPr lang="en-US" sz="1200" b="1" i="1" u="sng" baseline="0"/>
            <a:t>CUSTOMER_NAME  VS  UNIT_PRICE</a:t>
          </a:r>
          <a:endParaRPr lang="en-US" sz="1200" b="1" i="1" u="sng"/>
        </a:p>
      </xdr:txBody>
    </xdr:sp>
    <xdr:clientData/>
  </xdr:twoCellAnchor>
  <xdr:twoCellAnchor editAs="oneCell">
    <xdr:from>
      <xdr:col>13</xdr:col>
      <xdr:colOff>152399</xdr:colOff>
      <xdr:row>72</xdr:row>
      <xdr:rowOff>62753</xdr:rowOff>
    </xdr:from>
    <xdr:to>
      <xdr:col>16</xdr:col>
      <xdr:colOff>160019</xdr:colOff>
      <xdr:row>83</xdr:row>
      <xdr:rowOff>0</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077199" y="12971929"/>
              <a:ext cx="1836420" cy="1909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152401</xdr:colOff>
      <xdr:row>72</xdr:row>
      <xdr:rowOff>125506</xdr:rowOff>
    </xdr:from>
    <xdr:to>
      <xdr:col>24</xdr:col>
      <xdr:colOff>349625</xdr:colOff>
      <xdr:row>80</xdr:row>
      <xdr:rowOff>62753</xdr:rowOff>
    </xdr:to>
    <mc:AlternateContent xmlns:mc="http://schemas.openxmlformats.org/markup-compatibility/2006" xmlns:tsle="http://schemas.microsoft.com/office/drawing/2012/timeslicer">
      <mc:Choice Requires="tsle">
        <xdr:graphicFrame macro="">
          <xdr:nvGraphicFramePr>
            <xdr:cNvPr id="22" name="Customer_Since 3">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microsoft.com/office/drawing/2012/timeslicer">
              <tsle:timeslicer name="Customer_Since 3"/>
            </a:graphicData>
          </a:graphic>
        </xdr:graphicFrame>
      </mc:Choice>
      <mc:Fallback xmlns="">
        <xdr:sp macro="" textlink="">
          <xdr:nvSpPr>
            <xdr:cNvPr id="0" name=""/>
            <xdr:cNvSpPr>
              <a:spLocks noTextEdit="1"/>
            </xdr:cNvSpPr>
          </xdr:nvSpPr>
          <xdr:spPr>
            <a:xfrm>
              <a:off x="10515601" y="13034682"/>
              <a:ext cx="446442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134471</xdr:colOff>
      <xdr:row>0</xdr:row>
      <xdr:rowOff>53788</xdr:rowOff>
    </xdr:from>
    <xdr:to>
      <xdr:col>8</xdr:col>
      <xdr:colOff>233082</xdr:colOff>
      <xdr:row>3</xdr:row>
      <xdr:rowOff>35859</xdr:rowOff>
    </xdr:to>
    <xdr:pic>
      <xdr:nvPicPr>
        <xdr:cNvPr id="13" name="Graphic 12" descr="Bar chart with solid fill">
          <a:extLst>
            <a:ext uri="{FF2B5EF4-FFF2-40B4-BE49-F238E27FC236}">
              <a16:creationId xmlns:a16="http://schemas.microsoft.com/office/drawing/2014/main" id="{99C30FDD-8D75-E918-3186-C44BDE6462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01671" y="53788"/>
          <a:ext cx="708211" cy="519953"/>
        </a:xfrm>
        <a:prstGeom prst="rect">
          <a:avLst/>
        </a:prstGeom>
      </xdr:spPr>
    </xdr:pic>
    <xdr:clientData/>
  </xdr:twoCellAnchor>
  <xdr:twoCellAnchor>
    <xdr:from>
      <xdr:col>3</xdr:col>
      <xdr:colOff>403412</xdr:colOff>
      <xdr:row>17</xdr:row>
      <xdr:rowOff>143435</xdr:rowOff>
    </xdr:from>
    <xdr:to>
      <xdr:col>11</xdr:col>
      <xdr:colOff>98612</xdr:colOff>
      <xdr:row>34</xdr:row>
      <xdr:rowOff>107577</xdr:rowOff>
    </xdr:to>
    <xdr:graphicFrame macro="">
      <xdr:nvGraphicFramePr>
        <xdr:cNvPr id="18" name="Chart 17">
          <a:extLst>
            <a:ext uri="{FF2B5EF4-FFF2-40B4-BE49-F238E27FC236}">
              <a16:creationId xmlns:a16="http://schemas.microsoft.com/office/drawing/2014/main" id="{3616E23F-A840-419B-9F40-379F272E2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331694</xdr:colOff>
      <xdr:row>18</xdr:row>
      <xdr:rowOff>53790</xdr:rowOff>
    </xdr:from>
    <xdr:to>
      <xdr:col>15</xdr:col>
      <xdr:colOff>331694</xdr:colOff>
      <xdr:row>30</xdr:row>
      <xdr:rowOff>26894</xdr:rowOff>
    </xdr:to>
    <mc:AlternateContent xmlns:mc="http://schemas.openxmlformats.org/markup-compatibility/2006" xmlns:a14="http://schemas.microsoft.com/office/drawing/2010/main">
      <mc:Choice Requires="a14">
        <xdr:graphicFrame macro="">
          <xdr:nvGraphicFramePr>
            <xdr:cNvPr id="23" name="Customer_Segment 1">
              <a:extLst>
                <a:ext uri="{FF2B5EF4-FFF2-40B4-BE49-F238E27FC236}">
                  <a16:creationId xmlns:a16="http://schemas.microsoft.com/office/drawing/2014/main" id="{BD3BF73B-0349-4DB7-9D00-D86DF6DDDDB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7646894" y="3281084"/>
              <a:ext cx="1828800" cy="2124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573741</xdr:colOff>
      <xdr:row>19</xdr:row>
      <xdr:rowOff>107577</xdr:rowOff>
    </xdr:from>
    <xdr:to>
      <xdr:col>22</xdr:col>
      <xdr:colOff>253701</xdr:colOff>
      <xdr:row>27</xdr:row>
      <xdr:rowOff>44824</xdr:rowOff>
    </xdr:to>
    <mc:AlternateContent xmlns:mc="http://schemas.openxmlformats.org/markup-compatibility/2006" xmlns:tsle="http://schemas.microsoft.com/office/drawing/2012/timeslicer">
      <mc:Choice Requires="tsle">
        <xdr:graphicFrame macro="">
          <xdr:nvGraphicFramePr>
            <xdr:cNvPr id="24" name="Date 3">
              <a:extLst>
                <a:ext uri="{FF2B5EF4-FFF2-40B4-BE49-F238E27FC236}">
                  <a16:creationId xmlns:a16="http://schemas.microsoft.com/office/drawing/2014/main" id="{E737BF9A-7753-4D63-B09C-6225E6CB5AE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0327341" y="3514165"/>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26894</xdr:colOff>
      <xdr:row>43</xdr:row>
      <xdr:rowOff>170329</xdr:rowOff>
    </xdr:from>
    <xdr:to>
      <xdr:col>11</xdr:col>
      <xdr:colOff>475129</xdr:colOff>
      <xdr:row>59</xdr:row>
      <xdr:rowOff>44823</xdr:rowOff>
    </xdr:to>
    <xdr:graphicFrame macro="">
      <xdr:nvGraphicFramePr>
        <xdr:cNvPr id="26" name="Chart 25">
          <a:extLst>
            <a:ext uri="{FF2B5EF4-FFF2-40B4-BE49-F238E27FC236}">
              <a16:creationId xmlns:a16="http://schemas.microsoft.com/office/drawing/2014/main" id="{5FD68936-2824-4AF0-8D82-F555CF7B4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582705</xdr:colOff>
      <xdr:row>45</xdr:row>
      <xdr:rowOff>134468</xdr:rowOff>
    </xdr:from>
    <xdr:to>
      <xdr:col>15</xdr:col>
      <xdr:colOff>582705</xdr:colOff>
      <xdr:row>55</xdr:row>
      <xdr:rowOff>143434</xdr:rowOff>
    </xdr:to>
    <mc:AlternateContent xmlns:mc="http://schemas.openxmlformats.org/markup-compatibility/2006" xmlns:a14="http://schemas.microsoft.com/office/drawing/2010/main">
      <mc:Choice Requires="a14">
        <xdr:graphicFrame macro="">
          <xdr:nvGraphicFramePr>
            <xdr:cNvPr id="27" name="Category 3">
              <a:extLst>
                <a:ext uri="{FF2B5EF4-FFF2-40B4-BE49-F238E27FC236}">
                  <a16:creationId xmlns:a16="http://schemas.microsoft.com/office/drawing/2014/main" id="{8FB3DF45-E1FD-4161-9C6B-CE05D7C31008}"/>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7897905" y="8202703"/>
              <a:ext cx="1828800" cy="1801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493058</xdr:colOff>
      <xdr:row>46</xdr:row>
      <xdr:rowOff>116540</xdr:rowOff>
    </xdr:from>
    <xdr:to>
      <xdr:col>22</xdr:col>
      <xdr:colOff>173018</xdr:colOff>
      <xdr:row>54</xdr:row>
      <xdr:rowOff>53787</xdr:rowOff>
    </xdr:to>
    <mc:AlternateContent xmlns:mc="http://schemas.openxmlformats.org/markup-compatibility/2006" xmlns:tsle="http://schemas.microsoft.com/office/drawing/2012/timeslicer">
      <mc:Choice Requires="tsle">
        <xdr:graphicFrame macro="">
          <xdr:nvGraphicFramePr>
            <xdr:cNvPr id="28" name="Date 4">
              <a:extLst>
                <a:ext uri="{FF2B5EF4-FFF2-40B4-BE49-F238E27FC236}">
                  <a16:creationId xmlns:a16="http://schemas.microsoft.com/office/drawing/2014/main" id="{96901D93-3172-4387-986E-D826D2C9F699}"/>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0246658" y="8364069"/>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475129</xdr:colOff>
      <xdr:row>70</xdr:row>
      <xdr:rowOff>44824</xdr:rowOff>
    </xdr:from>
    <xdr:to>
      <xdr:col>12</xdr:col>
      <xdr:colOff>331694</xdr:colOff>
      <xdr:row>85</xdr:row>
      <xdr:rowOff>94802</xdr:rowOff>
    </xdr:to>
    <xdr:graphicFrame macro="">
      <xdr:nvGraphicFramePr>
        <xdr:cNvPr id="29" name="Chart 28">
          <a:extLst>
            <a:ext uri="{FF2B5EF4-FFF2-40B4-BE49-F238E27FC236}">
              <a16:creationId xmlns:a16="http://schemas.microsoft.com/office/drawing/2014/main" id="{FF4B10D8-7E8F-4697-8B69-CE753D32E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412375</xdr:colOff>
      <xdr:row>92</xdr:row>
      <xdr:rowOff>44823</xdr:rowOff>
    </xdr:from>
    <xdr:to>
      <xdr:col>17</xdr:col>
      <xdr:colOff>286870</xdr:colOff>
      <xdr:row>98</xdr:row>
      <xdr:rowOff>8965</xdr:rowOff>
    </xdr:to>
    <xdr:sp macro="" textlink="">
      <xdr:nvSpPr>
        <xdr:cNvPr id="30" name="Rectangle: Rounded Corners 29">
          <a:extLst>
            <a:ext uri="{FF2B5EF4-FFF2-40B4-BE49-F238E27FC236}">
              <a16:creationId xmlns:a16="http://schemas.microsoft.com/office/drawing/2014/main" id="{530F8358-EF93-BD61-5D11-AA4581C81421}"/>
            </a:ext>
          </a:extLst>
        </xdr:cNvPr>
        <xdr:cNvSpPr/>
      </xdr:nvSpPr>
      <xdr:spPr>
        <a:xfrm>
          <a:off x="4679575" y="16539882"/>
          <a:ext cx="5970495" cy="103990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a:p>
          <a:pPr algn="l"/>
          <a:endParaRPr lang="en-IN" sz="1100"/>
        </a:p>
        <a:p>
          <a:pPr algn="l"/>
          <a:r>
            <a:rPr lang="en-IN" sz="1100"/>
            <a:t>		</a:t>
          </a:r>
          <a:r>
            <a:rPr lang="en-IN" sz="2400" b="1" i="1" u="sng"/>
            <a:t>KEY</a:t>
          </a:r>
          <a:r>
            <a:rPr lang="en-IN" sz="2400" b="1" i="1" u="sng" baseline="0"/>
            <a:t> INSIGHTS</a:t>
          </a:r>
          <a:endParaRPr lang="en-IN" sz="1100"/>
        </a:p>
      </xdr:txBody>
    </xdr:sp>
    <xdr:clientData/>
  </xdr:twoCellAnchor>
  <xdr:twoCellAnchor>
    <xdr:from>
      <xdr:col>1</xdr:col>
      <xdr:colOff>475129</xdr:colOff>
      <xdr:row>101</xdr:row>
      <xdr:rowOff>8966</xdr:rowOff>
    </xdr:from>
    <xdr:to>
      <xdr:col>6</xdr:col>
      <xdr:colOff>582706</xdr:colOff>
      <xdr:row>108</xdr:row>
      <xdr:rowOff>107576</xdr:rowOff>
    </xdr:to>
    <xdr:sp macro="" textlink="">
      <xdr:nvSpPr>
        <xdr:cNvPr id="31" name="Rectangle 30">
          <a:extLst>
            <a:ext uri="{FF2B5EF4-FFF2-40B4-BE49-F238E27FC236}">
              <a16:creationId xmlns:a16="http://schemas.microsoft.com/office/drawing/2014/main" id="{01D76F89-66D2-503F-CA6E-665A431BC308}"/>
            </a:ext>
          </a:extLst>
        </xdr:cNvPr>
        <xdr:cNvSpPr/>
      </xdr:nvSpPr>
      <xdr:spPr>
        <a:xfrm>
          <a:off x="1084729" y="18117672"/>
          <a:ext cx="3155577" cy="135366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a:t>*</a:t>
          </a:r>
          <a:r>
            <a:rPr lang="en-IN" sz="1800" b="1" u="sng"/>
            <a:t>Sales</a:t>
          </a:r>
          <a:r>
            <a:rPr lang="en-IN" sz="1800" b="1" u="sng" baseline="0"/>
            <a:t> Performance Dashboard</a:t>
          </a:r>
        </a:p>
        <a:p>
          <a:pPr algn="l"/>
          <a:endParaRPr lang="en-IN" sz="1800" b="1" baseline="0"/>
        </a:p>
        <a:p>
          <a:pPr algn="l"/>
          <a:r>
            <a:rPr lang="en-IN" sz="1400" b="1"/>
            <a:t>~Region , Category</a:t>
          </a:r>
          <a:r>
            <a:rPr lang="en-IN" sz="1400" b="1" baseline="0"/>
            <a:t> and Customer</a:t>
          </a:r>
        </a:p>
        <a:p>
          <a:pPr algn="l"/>
          <a:r>
            <a:rPr lang="en-IN" sz="1400" b="1" baseline="0"/>
            <a:t>   Analysis</a:t>
          </a:r>
          <a:endParaRPr lang="en-IN" sz="1400" b="1"/>
        </a:p>
      </xdr:txBody>
    </xdr:sp>
    <xdr:clientData/>
  </xdr:twoCellAnchor>
  <xdr:twoCellAnchor>
    <xdr:from>
      <xdr:col>1</xdr:col>
      <xdr:colOff>493060</xdr:colOff>
      <xdr:row>110</xdr:row>
      <xdr:rowOff>44823</xdr:rowOff>
    </xdr:from>
    <xdr:to>
      <xdr:col>7</xdr:col>
      <xdr:colOff>430306</xdr:colOff>
      <xdr:row>120</xdr:row>
      <xdr:rowOff>26894</xdr:rowOff>
    </xdr:to>
    <xdr:sp macro="" textlink="">
      <xdr:nvSpPr>
        <xdr:cNvPr id="32" name="Rectangle 31">
          <a:extLst>
            <a:ext uri="{FF2B5EF4-FFF2-40B4-BE49-F238E27FC236}">
              <a16:creationId xmlns:a16="http://schemas.microsoft.com/office/drawing/2014/main" id="{A9851B12-3D43-8D5C-E5BE-A0937651ACA3}"/>
            </a:ext>
          </a:extLst>
        </xdr:cNvPr>
        <xdr:cNvSpPr/>
      </xdr:nvSpPr>
      <xdr:spPr>
        <a:xfrm>
          <a:off x="1102660" y="19767176"/>
          <a:ext cx="3594846" cy="177501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u="sng"/>
            <a:t>*KPI</a:t>
          </a:r>
          <a:r>
            <a:rPr lang="en-IN" sz="1800" b="1" u="sng" baseline="0"/>
            <a:t> NAMES</a:t>
          </a:r>
        </a:p>
        <a:p>
          <a:pPr algn="l"/>
          <a:endParaRPr lang="en-IN" sz="1800" b="1" u="sng" baseline="0"/>
        </a:p>
        <a:p>
          <a:pPr algn="l"/>
          <a:r>
            <a:rPr lang="en-IN" sz="1400" b="1" u="none"/>
            <a:t>~Total</a:t>
          </a:r>
          <a:r>
            <a:rPr lang="en-IN" sz="1400" b="1" u="none" baseline="0"/>
            <a:t> Sales</a:t>
          </a:r>
        </a:p>
        <a:p>
          <a:pPr algn="l"/>
          <a:r>
            <a:rPr lang="en-IN" sz="1400" b="1" u="none" baseline="0"/>
            <a:t>~Total Customers</a:t>
          </a:r>
        </a:p>
        <a:p>
          <a:pPr algn="l"/>
          <a:r>
            <a:rPr lang="en-IN" sz="1400" b="1" u="none" baseline="0"/>
            <a:t>~Sum Of Category</a:t>
          </a:r>
        </a:p>
        <a:p>
          <a:pPr algn="l"/>
          <a:r>
            <a:rPr lang="en-IN" sz="1400" b="1" u="none" baseline="0"/>
            <a:t>~Highest Sold Product</a:t>
          </a:r>
        </a:p>
        <a:p>
          <a:pPr algn="l"/>
          <a:r>
            <a:rPr lang="en-IN" sz="1400" b="1" u="none" baseline="0"/>
            <a:t>~Highest Customers</a:t>
          </a:r>
          <a:endParaRPr lang="en-IN" sz="1400" b="1" u="none"/>
        </a:p>
      </xdr:txBody>
    </xdr:sp>
    <xdr:clientData/>
  </xdr:twoCellAnchor>
  <xdr:twoCellAnchor>
    <xdr:from>
      <xdr:col>8</xdr:col>
      <xdr:colOff>484095</xdr:colOff>
      <xdr:row>101</xdr:row>
      <xdr:rowOff>53789</xdr:rowOff>
    </xdr:from>
    <xdr:to>
      <xdr:col>13</xdr:col>
      <xdr:colOff>528918</xdr:colOff>
      <xdr:row>119</xdr:row>
      <xdr:rowOff>125506</xdr:rowOff>
    </xdr:to>
    <xdr:sp macro="" textlink="">
      <xdr:nvSpPr>
        <xdr:cNvPr id="33" name="Rectangle 32">
          <a:extLst>
            <a:ext uri="{FF2B5EF4-FFF2-40B4-BE49-F238E27FC236}">
              <a16:creationId xmlns:a16="http://schemas.microsoft.com/office/drawing/2014/main" id="{19DA3099-60AA-6C8C-9D98-0158F5710615}"/>
            </a:ext>
          </a:extLst>
        </xdr:cNvPr>
        <xdr:cNvSpPr/>
      </xdr:nvSpPr>
      <xdr:spPr>
        <a:xfrm>
          <a:off x="5360895" y="18162495"/>
          <a:ext cx="3092823" cy="32990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u="sng"/>
            <a:t>*Chart Titles</a:t>
          </a:r>
        </a:p>
        <a:p>
          <a:pPr algn="l"/>
          <a:endParaRPr lang="en-IN" sz="1800" b="1" u="sng"/>
        </a:p>
        <a:p>
          <a:pPr algn="l"/>
          <a:r>
            <a:rPr lang="en-IN" sz="1400" b="1" u="none"/>
            <a:t>~Bar Chart</a:t>
          </a:r>
        </a:p>
        <a:p>
          <a:pPr algn="l"/>
          <a:r>
            <a:rPr lang="en-IN" sz="1400" b="1" u="none"/>
            <a:t>-Region</a:t>
          </a:r>
          <a:r>
            <a:rPr lang="en-IN" sz="1400" b="1" u="none" baseline="0"/>
            <a:t>-wise sales performance</a:t>
          </a:r>
        </a:p>
        <a:p>
          <a:pPr algn="l"/>
          <a:endParaRPr lang="en-IN" sz="1400" b="1" u="none" baseline="0"/>
        </a:p>
        <a:p>
          <a:pPr algn="l"/>
          <a:r>
            <a:rPr lang="en-IN" sz="1400" b="1" u="none" baseline="0"/>
            <a:t>~Pie Chart</a:t>
          </a:r>
        </a:p>
        <a:p>
          <a:pPr algn="l"/>
          <a:r>
            <a:rPr lang="en-IN" sz="1400" b="1" u="none" baseline="0"/>
            <a:t>-Customer_segment performance</a:t>
          </a:r>
        </a:p>
        <a:p>
          <a:pPr algn="l"/>
          <a:endParaRPr lang="en-IN" sz="1400" b="1" u="none" baseline="0"/>
        </a:p>
        <a:p>
          <a:pPr algn="l"/>
          <a:r>
            <a:rPr lang="en-IN" sz="1400" b="1" u="none" baseline="0"/>
            <a:t>~Line Chart</a:t>
          </a:r>
        </a:p>
        <a:p>
          <a:pPr algn="l"/>
          <a:r>
            <a:rPr lang="en-IN" sz="1400" b="1" u="none" baseline="0"/>
            <a:t>-Customer_name performance</a:t>
          </a:r>
          <a:endParaRPr lang="en-IN" sz="1400" b="1" u="none"/>
        </a:p>
      </xdr:txBody>
    </xdr:sp>
    <xdr:clientData/>
  </xdr:twoCellAnchor>
  <xdr:twoCellAnchor>
    <xdr:from>
      <xdr:col>14</xdr:col>
      <xdr:colOff>242047</xdr:colOff>
      <xdr:row>101</xdr:row>
      <xdr:rowOff>71718</xdr:rowOff>
    </xdr:from>
    <xdr:to>
      <xdr:col>19</xdr:col>
      <xdr:colOff>134471</xdr:colOff>
      <xdr:row>110</xdr:row>
      <xdr:rowOff>107576</xdr:rowOff>
    </xdr:to>
    <xdr:sp macro="" textlink="">
      <xdr:nvSpPr>
        <xdr:cNvPr id="34" name="Rectangle 33">
          <a:extLst>
            <a:ext uri="{FF2B5EF4-FFF2-40B4-BE49-F238E27FC236}">
              <a16:creationId xmlns:a16="http://schemas.microsoft.com/office/drawing/2014/main" id="{D8BDC18F-D2B4-7084-0B93-F4608094BE44}"/>
            </a:ext>
          </a:extLst>
        </xdr:cNvPr>
        <xdr:cNvSpPr/>
      </xdr:nvSpPr>
      <xdr:spPr>
        <a:xfrm>
          <a:off x="8776447" y="18180424"/>
          <a:ext cx="2940424" cy="164950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u="sng"/>
            <a:t>*Slicer</a:t>
          </a:r>
        </a:p>
        <a:p>
          <a:pPr algn="l"/>
          <a:endParaRPr lang="en-IN" sz="1800" b="1" u="sng"/>
        </a:p>
        <a:p>
          <a:pPr algn="l"/>
          <a:r>
            <a:rPr lang="en-IN" sz="1400" b="1" u="none"/>
            <a:t>~Filter by Customer_segment</a:t>
          </a:r>
        </a:p>
        <a:p>
          <a:pPr algn="l"/>
          <a:r>
            <a:rPr lang="en-IN" sz="1400" b="1" u="none"/>
            <a:t>~Filter by</a:t>
          </a:r>
          <a:r>
            <a:rPr lang="en-IN" sz="1400" b="1" u="none" baseline="0"/>
            <a:t> category</a:t>
          </a:r>
          <a:endParaRPr lang="en-IN" sz="1400" b="1" u="none"/>
        </a:p>
      </xdr:txBody>
    </xdr:sp>
    <xdr:clientData/>
  </xdr:twoCellAnchor>
  <xdr:twoCellAnchor>
    <xdr:from>
      <xdr:col>14</xdr:col>
      <xdr:colOff>224117</xdr:colOff>
      <xdr:row>111</xdr:row>
      <xdr:rowOff>125506</xdr:rowOff>
    </xdr:from>
    <xdr:to>
      <xdr:col>19</xdr:col>
      <xdr:colOff>349623</xdr:colOff>
      <xdr:row>119</xdr:row>
      <xdr:rowOff>143436</xdr:rowOff>
    </xdr:to>
    <xdr:sp macro="" textlink="">
      <xdr:nvSpPr>
        <xdr:cNvPr id="35" name="Rectangle 34">
          <a:extLst>
            <a:ext uri="{FF2B5EF4-FFF2-40B4-BE49-F238E27FC236}">
              <a16:creationId xmlns:a16="http://schemas.microsoft.com/office/drawing/2014/main" id="{F70FF648-9B5B-28E1-ADAA-0E0C715B7BC2}"/>
            </a:ext>
          </a:extLst>
        </xdr:cNvPr>
        <xdr:cNvSpPr/>
      </xdr:nvSpPr>
      <xdr:spPr>
        <a:xfrm>
          <a:off x="8758517" y="20027153"/>
          <a:ext cx="3173506" cy="145228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1" u="sng"/>
            <a:t>*Timeline</a:t>
          </a:r>
        </a:p>
        <a:p>
          <a:pPr algn="l"/>
          <a:endParaRPr lang="en-IN" sz="1800" b="1" u="sng"/>
        </a:p>
        <a:p>
          <a:pPr algn="l"/>
          <a:r>
            <a:rPr lang="en-IN" sz="1400" b="1" u="none"/>
            <a:t>~Date</a:t>
          </a:r>
        </a:p>
        <a:p>
          <a:pPr algn="l"/>
          <a:r>
            <a:rPr lang="en-IN" sz="1400" b="1" u="none"/>
            <a:t>~Customer_Since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4.64419421296" createdVersion="6" refreshedVersion="6" minRefreshableVersion="3" recordCount="250" xr:uid="{00000000-000A-0000-FFFF-FFFF00000000}">
  <cacheSource type="worksheet">
    <worksheetSource name="Table1"/>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ount="10">
        <s v="P009"/>
        <s v="P005"/>
        <s v="P008"/>
        <s v="P003"/>
        <s v="P001"/>
        <s v="P002"/>
        <s v="P007"/>
        <s v="P004"/>
        <s v="P010"/>
        <s v="P006"/>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6"/>
    </cacheField>
    <cacheField name="Total_Amount" numFmtId="0">
      <sharedItems containsSemiMixedTypes="0" containsString="0" containsNumber="1" minValue="59.99" maxValue="4499.95"/>
    </cacheField>
    <cacheField name="Months (Customer_Since)" numFmtId="0" databaseField="0">
      <fieldGroup base="12">
        <rangePr groupBy="months" startDate="2021-07-18T00:00:00" endDate="2024-04-12T00:00:00"/>
        <groupItems count="14">
          <s v="&lt;7/18/2021"/>
          <s v="Jan"/>
          <s v="Feb"/>
          <s v="Mar"/>
          <s v="Apr"/>
          <s v="May"/>
          <s v="Jun"/>
          <s v="Jul"/>
          <s v="Aug"/>
          <s v="Sep"/>
          <s v="Oct"/>
          <s v="Nov"/>
          <s v="Dec"/>
          <s v="&gt;4/12/2024"/>
        </groupItems>
      </fieldGroup>
    </cacheField>
    <cacheField name="Quarters (Customer_Since)" numFmtId="0" databaseField="0">
      <fieldGroup base="12">
        <rangePr groupBy="quarters" startDate="2021-07-18T00:00:00" endDate="2024-04-12T00:00:00"/>
        <groupItems count="6">
          <s v="&lt;7/18/2021"/>
          <s v="Qtr1"/>
          <s v="Qtr2"/>
          <s v="Qtr3"/>
          <s v="Qtr4"/>
          <s v="&gt;4/12/2024"/>
        </groupItems>
      </fieldGroup>
    </cacheField>
    <cacheField name="Years (Customer_Since)" numFmtId="0" databaseField="0">
      <fieldGroup base="12">
        <rangePr groupBy="years" startDate="2021-07-18T00:00:00" endDate="2024-04-12T00:00:00"/>
        <groupItems count="6">
          <s v="&lt;7/18/2021"/>
          <s v="2021"/>
          <s v="2022"/>
          <s v="2023"/>
          <s v="2024"/>
          <s v="&gt;4/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x v="0"/>
    <x v="0"/>
    <x v="0"/>
    <x v="0"/>
    <x v="0"/>
    <x v="0"/>
    <n v="249.99"/>
    <s v="Cash"/>
    <x v="0"/>
    <x v="0"/>
    <x v="0"/>
    <n v="749.97"/>
  </r>
  <r>
    <s v="TRX0023"/>
    <x v="1"/>
    <x v="1"/>
    <x v="1"/>
    <x v="0"/>
    <x v="0"/>
    <x v="0"/>
    <x v="0"/>
    <n v="249.99"/>
    <s v="Credit Card"/>
    <x v="0"/>
    <x v="1"/>
    <x v="1"/>
    <n v="749.97"/>
  </r>
  <r>
    <s v="TRX0139"/>
    <x v="2"/>
    <x v="2"/>
    <x v="2"/>
    <x v="1"/>
    <x v="1"/>
    <x v="1"/>
    <x v="0"/>
    <n v="59.99"/>
    <s v="PayPal"/>
    <x v="1"/>
    <x v="2"/>
    <x v="2"/>
    <n v="179.97"/>
  </r>
  <r>
    <s v="TRX0043"/>
    <x v="3"/>
    <x v="3"/>
    <x v="3"/>
    <x v="1"/>
    <x v="1"/>
    <x v="1"/>
    <x v="0"/>
    <n v="59.99"/>
    <s v="Cash"/>
    <x v="2"/>
    <x v="1"/>
    <x v="3"/>
    <n v="179.97"/>
  </r>
  <r>
    <s v="TRX0212"/>
    <x v="3"/>
    <x v="4"/>
    <x v="4"/>
    <x v="2"/>
    <x v="2"/>
    <x v="2"/>
    <x v="1"/>
    <n v="149.99"/>
    <s v="Credit Card"/>
    <x v="2"/>
    <x v="1"/>
    <x v="4"/>
    <n v="749.95"/>
  </r>
  <r>
    <s v="TRX0092"/>
    <x v="4"/>
    <x v="5"/>
    <x v="5"/>
    <x v="1"/>
    <x v="1"/>
    <x v="1"/>
    <x v="2"/>
    <n v="59.99"/>
    <s v="Cash"/>
    <x v="3"/>
    <x v="2"/>
    <x v="5"/>
    <n v="119.98"/>
  </r>
  <r>
    <s v="TRX0193"/>
    <x v="4"/>
    <x v="5"/>
    <x v="5"/>
    <x v="3"/>
    <x v="3"/>
    <x v="0"/>
    <x v="1"/>
    <n v="149.99"/>
    <s v="Credit Card"/>
    <x v="0"/>
    <x v="2"/>
    <x v="6"/>
    <n v="749.95"/>
  </r>
  <r>
    <s v="TRX0240"/>
    <x v="4"/>
    <x v="6"/>
    <x v="6"/>
    <x v="1"/>
    <x v="1"/>
    <x v="1"/>
    <x v="0"/>
    <n v="59.99"/>
    <s v="Debit Card"/>
    <x v="1"/>
    <x v="0"/>
    <x v="7"/>
    <n v="179.97"/>
  </r>
  <r>
    <s v="TRX0135"/>
    <x v="5"/>
    <x v="7"/>
    <x v="7"/>
    <x v="4"/>
    <x v="4"/>
    <x v="0"/>
    <x v="0"/>
    <n v="899.99"/>
    <s v="PayPal"/>
    <x v="4"/>
    <x v="2"/>
    <x v="8"/>
    <n v="2699.97"/>
  </r>
  <r>
    <s v="TRX0185"/>
    <x v="6"/>
    <x v="8"/>
    <x v="8"/>
    <x v="1"/>
    <x v="1"/>
    <x v="1"/>
    <x v="0"/>
    <n v="59.99"/>
    <s v="Cash"/>
    <x v="3"/>
    <x v="1"/>
    <x v="9"/>
    <n v="179.97"/>
  </r>
  <r>
    <s v="TRX0138"/>
    <x v="6"/>
    <x v="9"/>
    <x v="9"/>
    <x v="2"/>
    <x v="2"/>
    <x v="2"/>
    <x v="3"/>
    <n v="149.99"/>
    <s v="Credit Card"/>
    <x v="3"/>
    <x v="2"/>
    <x v="10"/>
    <n v="149.99"/>
  </r>
  <r>
    <s v="TRX0209"/>
    <x v="6"/>
    <x v="3"/>
    <x v="3"/>
    <x v="2"/>
    <x v="2"/>
    <x v="2"/>
    <x v="1"/>
    <n v="149.99"/>
    <s v="Debit Card"/>
    <x v="2"/>
    <x v="0"/>
    <x v="11"/>
    <n v="749.95"/>
  </r>
  <r>
    <s v="TRX0246"/>
    <x v="6"/>
    <x v="10"/>
    <x v="10"/>
    <x v="2"/>
    <x v="2"/>
    <x v="2"/>
    <x v="0"/>
    <n v="149.99"/>
    <s v="Cash"/>
    <x v="2"/>
    <x v="1"/>
    <x v="12"/>
    <n v="449.97"/>
  </r>
  <r>
    <s v="TRX0067"/>
    <x v="7"/>
    <x v="11"/>
    <x v="11"/>
    <x v="1"/>
    <x v="1"/>
    <x v="1"/>
    <x v="0"/>
    <n v="59.99"/>
    <s v="Credit Card"/>
    <x v="2"/>
    <x v="2"/>
    <x v="13"/>
    <n v="179.97"/>
  </r>
  <r>
    <s v="TRX0191"/>
    <x v="7"/>
    <x v="12"/>
    <x v="12"/>
    <x v="5"/>
    <x v="5"/>
    <x v="0"/>
    <x v="0"/>
    <n v="699.99"/>
    <s v="Credit Card"/>
    <x v="3"/>
    <x v="0"/>
    <x v="14"/>
    <n v="2099.9699999999998"/>
  </r>
  <r>
    <s v="TRX0230"/>
    <x v="7"/>
    <x v="13"/>
    <x v="13"/>
    <x v="4"/>
    <x v="4"/>
    <x v="0"/>
    <x v="3"/>
    <n v="899.99"/>
    <s v="Debit Card"/>
    <x v="2"/>
    <x v="2"/>
    <x v="15"/>
    <n v="899.99"/>
  </r>
  <r>
    <s v="TRX0049"/>
    <x v="8"/>
    <x v="14"/>
    <x v="14"/>
    <x v="2"/>
    <x v="2"/>
    <x v="2"/>
    <x v="4"/>
    <n v="149.99"/>
    <s v="Debit Card"/>
    <x v="2"/>
    <x v="1"/>
    <x v="16"/>
    <n v="599.96"/>
  </r>
  <r>
    <s v="TRX0134"/>
    <x v="8"/>
    <x v="15"/>
    <x v="15"/>
    <x v="5"/>
    <x v="5"/>
    <x v="0"/>
    <x v="2"/>
    <n v="699.99"/>
    <s v="Cash"/>
    <x v="2"/>
    <x v="0"/>
    <x v="17"/>
    <n v="1399.98"/>
  </r>
  <r>
    <s v="TRX0122"/>
    <x v="8"/>
    <x v="14"/>
    <x v="14"/>
    <x v="4"/>
    <x v="4"/>
    <x v="0"/>
    <x v="4"/>
    <n v="899.99"/>
    <s v="Credit Card"/>
    <x v="3"/>
    <x v="2"/>
    <x v="18"/>
    <n v="3599.96"/>
  </r>
  <r>
    <s v="TRX0222"/>
    <x v="8"/>
    <x v="16"/>
    <x v="16"/>
    <x v="0"/>
    <x v="0"/>
    <x v="0"/>
    <x v="0"/>
    <n v="249.99"/>
    <s v="Credit Card"/>
    <x v="2"/>
    <x v="1"/>
    <x v="19"/>
    <n v="749.97"/>
  </r>
  <r>
    <s v="TRX0231"/>
    <x v="9"/>
    <x v="17"/>
    <x v="17"/>
    <x v="5"/>
    <x v="5"/>
    <x v="0"/>
    <x v="1"/>
    <n v="699.99"/>
    <s v="Cash"/>
    <x v="3"/>
    <x v="0"/>
    <x v="20"/>
    <n v="3499.95"/>
  </r>
  <r>
    <s v="TRX0239"/>
    <x v="10"/>
    <x v="18"/>
    <x v="18"/>
    <x v="5"/>
    <x v="5"/>
    <x v="0"/>
    <x v="4"/>
    <n v="699.99"/>
    <s v="Cash"/>
    <x v="4"/>
    <x v="2"/>
    <x v="21"/>
    <n v="2799.96"/>
  </r>
  <r>
    <s v="TRX0204"/>
    <x v="11"/>
    <x v="19"/>
    <x v="19"/>
    <x v="0"/>
    <x v="0"/>
    <x v="0"/>
    <x v="4"/>
    <n v="249.99"/>
    <s v="PayPal"/>
    <x v="2"/>
    <x v="2"/>
    <x v="22"/>
    <n v="999.96"/>
  </r>
  <r>
    <s v="TRX0242"/>
    <x v="12"/>
    <x v="14"/>
    <x v="14"/>
    <x v="6"/>
    <x v="6"/>
    <x v="2"/>
    <x v="4"/>
    <n v="299.99"/>
    <s v="Cash"/>
    <x v="3"/>
    <x v="1"/>
    <x v="23"/>
    <n v="1199.96"/>
  </r>
  <r>
    <s v="TRX0071"/>
    <x v="13"/>
    <x v="20"/>
    <x v="20"/>
    <x v="0"/>
    <x v="0"/>
    <x v="0"/>
    <x v="1"/>
    <n v="249.99"/>
    <s v="Credit Card"/>
    <x v="3"/>
    <x v="2"/>
    <x v="24"/>
    <n v="1249.95"/>
  </r>
  <r>
    <s v="TRX0040"/>
    <x v="14"/>
    <x v="9"/>
    <x v="9"/>
    <x v="6"/>
    <x v="6"/>
    <x v="2"/>
    <x v="1"/>
    <n v="299.99"/>
    <s v="PayPal"/>
    <x v="4"/>
    <x v="0"/>
    <x v="25"/>
    <n v="1499.95"/>
  </r>
  <r>
    <s v="TRX0235"/>
    <x v="14"/>
    <x v="21"/>
    <x v="21"/>
    <x v="7"/>
    <x v="7"/>
    <x v="1"/>
    <x v="0"/>
    <n v="79.989999999999995"/>
    <s v="PayPal"/>
    <x v="4"/>
    <x v="1"/>
    <x v="26"/>
    <n v="239.97"/>
  </r>
  <r>
    <s v="TRX0004"/>
    <x v="14"/>
    <x v="18"/>
    <x v="18"/>
    <x v="8"/>
    <x v="8"/>
    <x v="0"/>
    <x v="1"/>
    <n v="89.99"/>
    <s v="Cash"/>
    <x v="2"/>
    <x v="1"/>
    <x v="27"/>
    <n v="449.95"/>
  </r>
  <r>
    <s v="TRX0063"/>
    <x v="15"/>
    <x v="22"/>
    <x v="22"/>
    <x v="1"/>
    <x v="1"/>
    <x v="1"/>
    <x v="2"/>
    <n v="59.99"/>
    <s v="Debit Card"/>
    <x v="0"/>
    <x v="2"/>
    <x v="28"/>
    <n v="119.98"/>
  </r>
  <r>
    <s v="TRX0241"/>
    <x v="16"/>
    <x v="23"/>
    <x v="23"/>
    <x v="1"/>
    <x v="1"/>
    <x v="1"/>
    <x v="4"/>
    <n v="59.99"/>
    <s v="Debit Card"/>
    <x v="4"/>
    <x v="2"/>
    <x v="29"/>
    <n v="239.96"/>
  </r>
  <r>
    <s v="TRX0029"/>
    <x v="16"/>
    <x v="6"/>
    <x v="6"/>
    <x v="9"/>
    <x v="9"/>
    <x v="2"/>
    <x v="1"/>
    <n v="199.99"/>
    <s v="Cash"/>
    <x v="1"/>
    <x v="2"/>
    <x v="30"/>
    <n v="999.95"/>
  </r>
  <r>
    <s v="TRX0194"/>
    <x v="17"/>
    <x v="24"/>
    <x v="24"/>
    <x v="2"/>
    <x v="2"/>
    <x v="2"/>
    <x v="2"/>
    <n v="149.99"/>
    <s v="Credit Card"/>
    <x v="3"/>
    <x v="0"/>
    <x v="31"/>
    <n v="299.98"/>
  </r>
  <r>
    <s v="TRX0130"/>
    <x v="18"/>
    <x v="25"/>
    <x v="25"/>
    <x v="2"/>
    <x v="2"/>
    <x v="2"/>
    <x v="0"/>
    <n v="149.99"/>
    <s v="Credit Card"/>
    <x v="3"/>
    <x v="1"/>
    <x v="32"/>
    <n v="449.97"/>
  </r>
  <r>
    <s v="TRX0041"/>
    <x v="19"/>
    <x v="2"/>
    <x v="2"/>
    <x v="4"/>
    <x v="4"/>
    <x v="0"/>
    <x v="3"/>
    <n v="899.99"/>
    <s v="Credit Card"/>
    <x v="3"/>
    <x v="1"/>
    <x v="33"/>
    <n v="899.99"/>
  </r>
  <r>
    <s v="TRX0232"/>
    <x v="20"/>
    <x v="18"/>
    <x v="18"/>
    <x v="6"/>
    <x v="6"/>
    <x v="2"/>
    <x v="0"/>
    <n v="299.99"/>
    <s v="Credit Card"/>
    <x v="4"/>
    <x v="0"/>
    <x v="34"/>
    <n v="899.97"/>
  </r>
  <r>
    <s v="TRX0021"/>
    <x v="21"/>
    <x v="24"/>
    <x v="24"/>
    <x v="7"/>
    <x v="7"/>
    <x v="1"/>
    <x v="0"/>
    <n v="79.989999999999995"/>
    <s v="Cash"/>
    <x v="1"/>
    <x v="0"/>
    <x v="35"/>
    <n v="239.97"/>
  </r>
  <r>
    <s v="TRX0245"/>
    <x v="22"/>
    <x v="26"/>
    <x v="26"/>
    <x v="9"/>
    <x v="9"/>
    <x v="2"/>
    <x v="0"/>
    <n v="199.99"/>
    <s v="Credit Card"/>
    <x v="2"/>
    <x v="1"/>
    <x v="36"/>
    <n v="599.97"/>
  </r>
  <r>
    <s v="TRX0015"/>
    <x v="23"/>
    <x v="27"/>
    <x v="27"/>
    <x v="5"/>
    <x v="5"/>
    <x v="0"/>
    <x v="1"/>
    <n v="699.99"/>
    <s v="PayPal"/>
    <x v="3"/>
    <x v="2"/>
    <x v="37"/>
    <n v="3499.95"/>
  </r>
  <r>
    <s v="TRX0202"/>
    <x v="24"/>
    <x v="28"/>
    <x v="28"/>
    <x v="8"/>
    <x v="8"/>
    <x v="0"/>
    <x v="0"/>
    <n v="89.99"/>
    <s v="PayPal"/>
    <x v="0"/>
    <x v="1"/>
    <x v="38"/>
    <n v="269.97000000000003"/>
  </r>
  <r>
    <s v="TRX0042"/>
    <x v="25"/>
    <x v="29"/>
    <x v="29"/>
    <x v="7"/>
    <x v="7"/>
    <x v="1"/>
    <x v="3"/>
    <n v="79.989999999999995"/>
    <s v="Cash"/>
    <x v="2"/>
    <x v="2"/>
    <x v="39"/>
    <n v="79.989999999999995"/>
  </r>
  <r>
    <s v="TRX0128"/>
    <x v="26"/>
    <x v="30"/>
    <x v="30"/>
    <x v="1"/>
    <x v="1"/>
    <x v="1"/>
    <x v="2"/>
    <n v="59.99"/>
    <s v="Cash"/>
    <x v="3"/>
    <x v="0"/>
    <x v="40"/>
    <n v="119.98"/>
  </r>
  <r>
    <s v="TRX0117"/>
    <x v="26"/>
    <x v="6"/>
    <x v="6"/>
    <x v="8"/>
    <x v="8"/>
    <x v="0"/>
    <x v="3"/>
    <n v="89.99"/>
    <s v="Cash"/>
    <x v="2"/>
    <x v="0"/>
    <x v="41"/>
    <n v="89.99"/>
  </r>
  <r>
    <s v="TRX0208"/>
    <x v="27"/>
    <x v="31"/>
    <x v="31"/>
    <x v="8"/>
    <x v="8"/>
    <x v="0"/>
    <x v="1"/>
    <n v="89.99"/>
    <s v="Credit Card"/>
    <x v="4"/>
    <x v="2"/>
    <x v="42"/>
    <n v="449.95"/>
  </r>
  <r>
    <s v="TRX0234"/>
    <x v="28"/>
    <x v="1"/>
    <x v="1"/>
    <x v="0"/>
    <x v="0"/>
    <x v="0"/>
    <x v="1"/>
    <n v="249.99"/>
    <s v="Credit Card"/>
    <x v="4"/>
    <x v="2"/>
    <x v="43"/>
    <n v="1249.95"/>
  </r>
  <r>
    <s v="TRX0121"/>
    <x v="28"/>
    <x v="32"/>
    <x v="32"/>
    <x v="8"/>
    <x v="8"/>
    <x v="0"/>
    <x v="3"/>
    <n v="89.99"/>
    <s v="Credit Card"/>
    <x v="1"/>
    <x v="2"/>
    <x v="44"/>
    <n v="89.99"/>
  </r>
  <r>
    <s v="TRX0220"/>
    <x v="29"/>
    <x v="4"/>
    <x v="4"/>
    <x v="2"/>
    <x v="2"/>
    <x v="2"/>
    <x v="2"/>
    <n v="149.99"/>
    <s v="Cash"/>
    <x v="4"/>
    <x v="1"/>
    <x v="45"/>
    <n v="299.98"/>
  </r>
  <r>
    <s v="TRX0093"/>
    <x v="30"/>
    <x v="33"/>
    <x v="33"/>
    <x v="1"/>
    <x v="1"/>
    <x v="1"/>
    <x v="4"/>
    <n v="59.99"/>
    <s v="Cash"/>
    <x v="4"/>
    <x v="2"/>
    <x v="46"/>
    <n v="239.96"/>
  </r>
  <r>
    <s v="TRX0088"/>
    <x v="31"/>
    <x v="24"/>
    <x v="24"/>
    <x v="8"/>
    <x v="8"/>
    <x v="0"/>
    <x v="1"/>
    <n v="89.99"/>
    <s v="Cash"/>
    <x v="0"/>
    <x v="1"/>
    <x v="47"/>
    <n v="449.95"/>
  </r>
  <r>
    <s v="TRX0115"/>
    <x v="32"/>
    <x v="18"/>
    <x v="18"/>
    <x v="8"/>
    <x v="8"/>
    <x v="0"/>
    <x v="2"/>
    <n v="89.99"/>
    <s v="Credit Card"/>
    <x v="1"/>
    <x v="1"/>
    <x v="48"/>
    <n v="179.98"/>
  </r>
  <r>
    <s v="TRX0154"/>
    <x v="32"/>
    <x v="0"/>
    <x v="0"/>
    <x v="4"/>
    <x v="4"/>
    <x v="0"/>
    <x v="1"/>
    <n v="899.99"/>
    <s v="Credit Card"/>
    <x v="1"/>
    <x v="2"/>
    <x v="49"/>
    <n v="4499.95"/>
  </r>
  <r>
    <s v="TRX0044"/>
    <x v="32"/>
    <x v="23"/>
    <x v="23"/>
    <x v="4"/>
    <x v="4"/>
    <x v="0"/>
    <x v="1"/>
    <n v="899.99"/>
    <s v="PayPal"/>
    <x v="4"/>
    <x v="1"/>
    <x v="50"/>
    <n v="4499.95"/>
  </r>
  <r>
    <s v="TRX0061"/>
    <x v="33"/>
    <x v="32"/>
    <x v="32"/>
    <x v="1"/>
    <x v="1"/>
    <x v="1"/>
    <x v="3"/>
    <n v="59.99"/>
    <s v="Debit Card"/>
    <x v="3"/>
    <x v="1"/>
    <x v="51"/>
    <n v="59.99"/>
  </r>
  <r>
    <s v="TRX0150"/>
    <x v="33"/>
    <x v="27"/>
    <x v="27"/>
    <x v="6"/>
    <x v="6"/>
    <x v="2"/>
    <x v="2"/>
    <n v="299.99"/>
    <s v="Debit Card"/>
    <x v="4"/>
    <x v="2"/>
    <x v="52"/>
    <n v="599.98"/>
  </r>
  <r>
    <s v="TRX0025"/>
    <x v="34"/>
    <x v="34"/>
    <x v="34"/>
    <x v="8"/>
    <x v="8"/>
    <x v="0"/>
    <x v="4"/>
    <n v="89.99"/>
    <s v="Debit Card"/>
    <x v="1"/>
    <x v="0"/>
    <x v="53"/>
    <n v="359.96"/>
  </r>
  <r>
    <s v="TRX0078"/>
    <x v="35"/>
    <x v="2"/>
    <x v="2"/>
    <x v="7"/>
    <x v="7"/>
    <x v="1"/>
    <x v="3"/>
    <n v="79.989999999999995"/>
    <s v="PayPal"/>
    <x v="0"/>
    <x v="1"/>
    <x v="54"/>
    <n v="79.989999999999995"/>
  </r>
  <r>
    <s v="TRX0007"/>
    <x v="35"/>
    <x v="7"/>
    <x v="7"/>
    <x v="8"/>
    <x v="8"/>
    <x v="0"/>
    <x v="2"/>
    <n v="89.99"/>
    <s v="Cash"/>
    <x v="3"/>
    <x v="0"/>
    <x v="55"/>
    <n v="179.98"/>
  </r>
  <r>
    <s v="TRX0184"/>
    <x v="36"/>
    <x v="3"/>
    <x v="3"/>
    <x v="5"/>
    <x v="5"/>
    <x v="0"/>
    <x v="0"/>
    <n v="699.99"/>
    <s v="Credit Card"/>
    <x v="4"/>
    <x v="1"/>
    <x v="56"/>
    <n v="2099.9699999999998"/>
  </r>
  <r>
    <s v="TRX0104"/>
    <x v="36"/>
    <x v="18"/>
    <x v="18"/>
    <x v="4"/>
    <x v="4"/>
    <x v="0"/>
    <x v="4"/>
    <n v="899.99"/>
    <s v="Credit Card"/>
    <x v="4"/>
    <x v="1"/>
    <x v="57"/>
    <n v="3599.96"/>
  </r>
  <r>
    <s v="TRX0127"/>
    <x v="37"/>
    <x v="22"/>
    <x v="22"/>
    <x v="2"/>
    <x v="2"/>
    <x v="2"/>
    <x v="3"/>
    <n v="149.99"/>
    <s v="PayPal"/>
    <x v="4"/>
    <x v="0"/>
    <x v="58"/>
    <n v="149.99"/>
  </r>
  <r>
    <s v="TRX0096"/>
    <x v="38"/>
    <x v="25"/>
    <x v="25"/>
    <x v="8"/>
    <x v="8"/>
    <x v="0"/>
    <x v="2"/>
    <n v="89.99"/>
    <s v="PayPal"/>
    <x v="0"/>
    <x v="1"/>
    <x v="59"/>
    <n v="179.98"/>
  </r>
  <r>
    <s v="TRX0192"/>
    <x v="39"/>
    <x v="6"/>
    <x v="6"/>
    <x v="8"/>
    <x v="8"/>
    <x v="0"/>
    <x v="3"/>
    <n v="89.99"/>
    <s v="PayPal"/>
    <x v="3"/>
    <x v="2"/>
    <x v="60"/>
    <n v="89.99"/>
  </r>
  <r>
    <s v="TRX0052"/>
    <x v="40"/>
    <x v="9"/>
    <x v="9"/>
    <x v="8"/>
    <x v="8"/>
    <x v="0"/>
    <x v="3"/>
    <n v="89.99"/>
    <s v="Cash"/>
    <x v="1"/>
    <x v="2"/>
    <x v="61"/>
    <n v="89.99"/>
  </r>
  <r>
    <s v="TRX0070"/>
    <x v="40"/>
    <x v="35"/>
    <x v="35"/>
    <x v="7"/>
    <x v="7"/>
    <x v="1"/>
    <x v="1"/>
    <n v="79.989999999999995"/>
    <s v="Debit Card"/>
    <x v="0"/>
    <x v="0"/>
    <x v="62"/>
    <n v="399.95"/>
  </r>
  <r>
    <s v="TRX0086"/>
    <x v="41"/>
    <x v="36"/>
    <x v="36"/>
    <x v="2"/>
    <x v="2"/>
    <x v="2"/>
    <x v="3"/>
    <n v="149.99"/>
    <s v="PayPal"/>
    <x v="2"/>
    <x v="0"/>
    <x v="63"/>
    <n v="149.99"/>
  </r>
  <r>
    <s v="TRX0113"/>
    <x v="41"/>
    <x v="4"/>
    <x v="4"/>
    <x v="5"/>
    <x v="5"/>
    <x v="0"/>
    <x v="2"/>
    <n v="699.99"/>
    <s v="PayPal"/>
    <x v="4"/>
    <x v="1"/>
    <x v="64"/>
    <n v="1399.98"/>
  </r>
  <r>
    <s v="TRX0114"/>
    <x v="41"/>
    <x v="17"/>
    <x v="17"/>
    <x v="8"/>
    <x v="8"/>
    <x v="0"/>
    <x v="1"/>
    <n v="89.99"/>
    <s v="Debit Card"/>
    <x v="2"/>
    <x v="1"/>
    <x v="65"/>
    <n v="449.95"/>
  </r>
  <r>
    <s v="TRX0136"/>
    <x v="42"/>
    <x v="34"/>
    <x v="34"/>
    <x v="1"/>
    <x v="1"/>
    <x v="1"/>
    <x v="4"/>
    <n v="59.99"/>
    <s v="Cash"/>
    <x v="1"/>
    <x v="2"/>
    <x v="66"/>
    <n v="239.96"/>
  </r>
  <r>
    <s v="TRX0018"/>
    <x v="43"/>
    <x v="1"/>
    <x v="1"/>
    <x v="3"/>
    <x v="3"/>
    <x v="0"/>
    <x v="3"/>
    <n v="149.99"/>
    <s v="Cash"/>
    <x v="0"/>
    <x v="2"/>
    <x v="67"/>
    <n v="149.99"/>
  </r>
  <r>
    <s v="TRX0141"/>
    <x v="43"/>
    <x v="37"/>
    <x v="37"/>
    <x v="6"/>
    <x v="6"/>
    <x v="2"/>
    <x v="3"/>
    <n v="299.99"/>
    <s v="Credit Card"/>
    <x v="2"/>
    <x v="1"/>
    <x v="68"/>
    <n v="299.99"/>
  </r>
  <r>
    <s v="TRX0097"/>
    <x v="44"/>
    <x v="37"/>
    <x v="37"/>
    <x v="9"/>
    <x v="9"/>
    <x v="2"/>
    <x v="2"/>
    <n v="199.99"/>
    <s v="Cash"/>
    <x v="2"/>
    <x v="0"/>
    <x v="69"/>
    <n v="399.98"/>
  </r>
  <r>
    <s v="TRX0169"/>
    <x v="45"/>
    <x v="38"/>
    <x v="38"/>
    <x v="1"/>
    <x v="1"/>
    <x v="1"/>
    <x v="0"/>
    <n v="59.99"/>
    <s v="Credit Card"/>
    <x v="3"/>
    <x v="0"/>
    <x v="70"/>
    <n v="179.97"/>
  </r>
  <r>
    <s v="TRX0216"/>
    <x v="45"/>
    <x v="10"/>
    <x v="10"/>
    <x v="2"/>
    <x v="2"/>
    <x v="2"/>
    <x v="0"/>
    <n v="149.99"/>
    <s v="Cash"/>
    <x v="0"/>
    <x v="1"/>
    <x v="71"/>
    <n v="449.97"/>
  </r>
  <r>
    <s v="TRX0131"/>
    <x v="46"/>
    <x v="8"/>
    <x v="8"/>
    <x v="9"/>
    <x v="9"/>
    <x v="2"/>
    <x v="0"/>
    <n v="199.99"/>
    <s v="Cash"/>
    <x v="2"/>
    <x v="1"/>
    <x v="72"/>
    <n v="599.97"/>
  </r>
  <r>
    <s v="TRX0162"/>
    <x v="47"/>
    <x v="30"/>
    <x v="30"/>
    <x v="4"/>
    <x v="4"/>
    <x v="0"/>
    <x v="3"/>
    <n v="899.99"/>
    <s v="Cash"/>
    <x v="0"/>
    <x v="2"/>
    <x v="73"/>
    <n v="899.99"/>
  </r>
  <r>
    <s v="TRX0244"/>
    <x v="48"/>
    <x v="1"/>
    <x v="1"/>
    <x v="4"/>
    <x v="4"/>
    <x v="0"/>
    <x v="1"/>
    <n v="899.99"/>
    <s v="Debit Card"/>
    <x v="1"/>
    <x v="2"/>
    <x v="74"/>
    <n v="4499.95"/>
  </r>
  <r>
    <s v="TRX0006"/>
    <x v="49"/>
    <x v="35"/>
    <x v="35"/>
    <x v="1"/>
    <x v="1"/>
    <x v="1"/>
    <x v="2"/>
    <n v="59.99"/>
    <s v="Cash"/>
    <x v="2"/>
    <x v="2"/>
    <x v="75"/>
    <n v="119.98"/>
  </r>
  <r>
    <s v="TRX0215"/>
    <x v="49"/>
    <x v="38"/>
    <x v="38"/>
    <x v="0"/>
    <x v="0"/>
    <x v="0"/>
    <x v="4"/>
    <n v="249.99"/>
    <s v="Debit Card"/>
    <x v="0"/>
    <x v="2"/>
    <x v="76"/>
    <n v="999.96"/>
  </r>
  <r>
    <s v="TRX0080"/>
    <x v="50"/>
    <x v="17"/>
    <x v="17"/>
    <x v="0"/>
    <x v="0"/>
    <x v="0"/>
    <x v="2"/>
    <n v="249.99"/>
    <s v="Cash"/>
    <x v="2"/>
    <x v="1"/>
    <x v="77"/>
    <n v="499.98"/>
  </r>
  <r>
    <s v="TRX0228"/>
    <x v="50"/>
    <x v="29"/>
    <x v="29"/>
    <x v="6"/>
    <x v="6"/>
    <x v="2"/>
    <x v="3"/>
    <n v="299.99"/>
    <s v="Cash"/>
    <x v="1"/>
    <x v="0"/>
    <x v="78"/>
    <n v="299.99"/>
  </r>
  <r>
    <s v="TRX0157"/>
    <x v="51"/>
    <x v="14"/>
    <x v="14"/>
    <x v="8"/>
    <x v="8"/>
    <x v="0"/>
    <x v="2"/>
    <n v="89.99"/>
    <s v="PayPal"/>
    <x v="1"/>
    <x v="0"/>
    <x v="79"/>
    <n v="179.98"/>
  </r>
  <r>
    <s v="TRX0002"/>
    <x v="51"/>
    <x v="29"/>
    <x v="29"/>
    <x v="6"/>
    <x v="6"/>
    <x v="2"/>
    <x v="0"/>
    <n v="299.99"/>
    <s v="Cash"/>
    <x v="0"/>
    <x v="0"/>
    <x v="80"/>
    <n v="899.97"/>
  </r>
  <r>
    <s v="TRX0217"/>
    <x v="52"/>
    <x v="14"/>
    <x v="14"/>
    <x v="5"/>
    <x v="5"/>
    <x v="0"/>
    <x v="2"/>
    <n v="699.99"/>
    <s v="Credit Card"/>
    <x v="2"/>
    <x v="1"/>
    <x v="81"/>
    <n v="1399.98"/>
  </r>
  <r>
    <s v="TRX0249"/>
    <x v="53"/>
    <x v="22"/>
    <x v="22"/>
    <x v="4"/>
    <x v="4"/>
    <x v="0"/>
    <x v="4"/>
    <n v="899.99"/>
    <s v="Debit Card"/>
    <x v="1"/>
    <x v="2"/>
    <x v="82"/>
    <n v="3599.96"/>
  </r>
  <r>
    <s v="TRX0065"/>
    <x v="54"/>
    <x v="39"/>
    <x v="39"/>
    <x v="2"/>
    <x v="2"/>
    <x v="2"/>
    <x v="2"/>
    <n v="149.99"/>
    <s v="Credit Card"/>
    <x v="3"/>
    <x v="0"/>
    <x v="83"/>
    <n v="299.98"/>
  </r>
  <r>
    <s v="TRX0176"/>
    <x v="55"/>
    <x v="19"/>
    <x v="19"/>
    <x v="2"/>
    <x v="2"/>
    <x v="2"/>
    <x v="2"/>
    <n v="149.99"/>
    <s v="Debit Card"/>
    <x v="4"/>
    <x v="2"/>
    <x v="84"/>
    <n v="299.98"/>
  </r>
  <r>
    <s v="TRX0101"/>
    <x v="56"/>
    <x v="15"/>
    <x v="15"/>
    <x v="8"/>
    <x v="8"/>
    <x v="0"/>
    <x v="3"/>
    <n v="89.99"/>
    <s v="Credit Card"/>
    <x v="2"/>
    <x v="2"/>
    <x v="85"/>
    <n v="89.99"/>
  </r>
  <r>
    <s v="TRX0205"/>
    <x v="57"/>
    <x v="14"/>
    <x v="14"/>
    <x v="6"/>
    <x v="6"/>
    <x v="2"/>
    <x v="1"/>
    <n v="299.99"/>
    <s v="Credit Card"/>
    <x v="2"/>
    <x v="0"/>
    <x v="86"/>
    <n v="1499.95"/>
  </r>
  <r>
    <s v="TRX0020"/>
    <x v="58"/>
    <x v="35"/>
    <x v="35"/>
    <x v="3"/>
    <x v="3"/>
    <x v="0"/>
    <x v="4"/>
    <n v="149.99"/>
    <s v="Debit Card"/>
    <x v="1"/>
    <x v="1"/>
    <x v="87"/>
    <n v="599.96"/>
  </r>
  <r>
    <s v="TRX0075"/>
    <x v="58"/>
    <x v="36"/>
    <x v="36"/>
    <x v="0"/>
    <x v="0"/>
    <x v="0"/>
    <x v="1"/>
    <n v="249.99"/>
    <s v="PayPal"/>
    <x v="4"/>
    <x v="1"/>
    <x v="88"/>
    <n v="1249.95"/>
  </r>
  <r>
    <s v="TRX0098"/>
    <x v="58"/>
    <x v="8"/>
    <x v="8"/>
    <x v="0"/>
    <x v="0"/>
    <x v="0"/>
    <x v="0"/>
    <n v="249.99"/>
    <s v="PayPal"/>
    <x v="2"/>
    <x v="1"/>
    <x v="89"/>
    <n v="749.97"/>
  </r>
  <r>
    <s v="TRX0247"/>
    <x v="58"/>
    <x v="3"/>
    <x v="3"/>
    <x v="9"/>
    <x v="9"/>
    <x v="2"/>
    <x v="4"/>
    <n v="199.99"/>
    <s v="Cash"/>
    <x v="2"/>
    <x v="2"/>
    <x v="90"/>
    <n v="799.96"/>
  </r>
  <r>
    <s v="TRX0027"/>
    <x v="59"/>
    <x v="32"/>
    <x v="32"/>
    <x v="9"/>
    <x v="9"/>
    <x v="2"/>
    <x v="1"/>
    <n v="199.99"/>
    <s v="Cash"/>
    <x v="2"/>
    <x v="1"/>
    <x v="91"/>
    <n v="999.95"/>
  </r>
  <r>
    <s v="TRX0140"/>
    <x v="60"/>
    <x v="14"/>
    <x v="14"/>
    <x v="8"/>
    <x v="8"/>
    <x v="0"/>
    <x v="2"/>
    <n v="89.99"/>
    <s v="Cash"/>
    <x v="4"/>
    <x v="1"/>
    <x v="92"/>
    <n v="179.98"/>
  </r>
  <r>
    <s v="TRX0132"/>
    <x v="61"/>
    <x v="38"/>
    <x v="38"/>
    <x v="4"/>
    <x v="4"/>
    <x v="0"/>
    <x v="1"/>
    <n v="899.99"/>
    <s v="Debit Card"/>
    <x v="4"/>
    <x v="0"/>
    <x v="93"/>
    <n v="4499.95"/>
  </r>
  <r>
    <s v="TRX0031"/>
    <x v="61"/>
    <x v="20"/>
    <x v="20"/>
    <x v="3"/>
    <x v="3"/>
    <x v="0"/>
    <x v="0"/>
    <n v="149.99"/>
    <s v="PayPal"/>
    <x v="4"/>
    <x v="0"/>
    <x v="94"/>
    <n v="449.97"/>
  </r>
  <r>
    <s v="TRX0236"/>
    <x v="62"/>
    <x v="19"/>
    <x v="19"/>
    <x v="2"/>
    <x v="2"/>
    <x v="2"/>
    <x v="1"/>
    <n v="149.99"/>
    <s v="Credit Card"/>
    <x v="0"/>
    <x v="0"/>
    <x v="95"/>
    <n v="749.95"/>
  </r>
  <r>
    <s v="TRX0001"/>
    <x v="63"/>
    <x v="40"/>
    <x v="40"/>
    <x v="7"/>
    <x v="7"/>
    <x v="1"/>
    <x v="0"/>
    <n v="79.989999999999995"/>
    <s v="Cash"/>
    <x v="0"/>
    <x v="1"/>
    <x v="96"/>
    <n v="239.97"/>
  </r>
  <r>
    <s v="TRX0037"/>
    <x v="63"/>
    <x v="28"/>
    <x v="28"/>
    <x v="0"/>
    <x v="0"/>
    <x v="0"/>
    <x v="2"/>
    <n v="249.99"/>
    <s v="Cash"/>
    <x v="1"/>
    <x v="2"/>
    <x v="97"/>
    <n v="499.98"/>
  </r>
  <r>
    <s v="TRX0058"/>
    <x v="64"/>
    <x v="38"/>
    <x v="38"/>
    <x v="5"/>
    <x v="5"/>
    <x v="0"/>
    <x v="3"/>
    <n v="699.99"/>
    <s v="Cash"/>
    <x v="0"/>
    <x v="1"/>
    <x v="98"/>
    <n v="699.99"/>
  </r>
  <r>
    <s v="TRX0170"/>
    <x v="64"/>
    <x v="41"/>
    <x v="41"/>
    <x v="3"/>
    <x v="3"/>
    <x v="0"/>
    <x v="0"/>
    <n v="149.99"/>
    <s v="Cash"/>
    <x v="3"/>
    <x v="1"/>
    <x v="99"/>
    <n v="449.97"/>
  </r>
  <r>
    <s v="TRX0248"/>
    <x v="65"/>
    <x v="42"/>
    <x v="42"/>
    <x v="5"/>
    <x v="5"/>
    <x v="0"/>
    <x v="2"/>
    <n v="699.99"/>
    <s v="Credit Card"/>
    <x v="2"/>
    <x v="1"/>
    <x v="63"/>
    <n v="1399.98"/>
  </r>
  <r>
    <s v="TRX0099"/>
    <x v="66"/>
    <x v="41"/>
    <x v="41"/>
    <x v="0"/>
    <x v="0"/>
    <x v="0"/>
    <x v="3"/>
    <n v="249.99"/>
    <s v="Credit Card"/>
    <x v="3"/>
    <x v="1"/>
    <x v="100"/>
    <n v="249.99"/>
  </r>
  <r>
    <s v="TRX0074"/>
    <x v="66"/>
    <x v="0"/>
    <x v="0"/>
    <x v="0"/>
    <x v="0"/>
    <x v="0"/>
    <x v="3"/>
    <n v="249.99"/>
    <s v="Debit Card"/>
    <x v="2"/>
    <x v="1"/>
    <x v="101"/>
    <n v="249.99"/>
  </r>
  <r>
    <s v="TRX0225"/>
    <x v="67"/>
    <x v="40"/>
    <x v="40"/>
    <x v="5"/>
    <x v="5"/>
    <x v="0"/>
    <x v="2"/>
    <n v="699.99"/>
    <s v="Debit Card"/>
    <x v="0"/>
    <x v="1"/>
    <x v="102"/>
    <n v="1399.98"/>
  </r>
  <r>
    <s v="TRX0100"/>
    <x v="68"/>
    <x v="26"/>
    <x v="26"/>
    <x v="1"/>
    <x v="1"/>
    <x v="1"/>
    <x v="0"/>
    <n v="59.99"/>
    <s v="Credit Card"/>
    <x v="0"/>
    <x v="1"/>
    <x v="103"/>
    <n v="179.97"/>
  </r>
  <r>
    <s v="TRX0142"/>
    <x v="69"/>
    <x v="25"/>
    <x v="25"/>
    <x v="1"/>
    <x v="1"/>
    <x v="1"/>
    <x v="0"/>
    <n v="59.99"/>
    <s v="PayPal"/>
    <x v="4"/>
    <x v="2"/>
    <x v="104"/>
    <n v="179.97"/>
  </r>
  <r>
    <s v="TRX0112"/>
    <x v="69"/>
    <x v="27"/>
    <x v="27"/>
    <x v="7"/>
    <x v="7"/>
    <x v="1"/>
    <x v="4"/>
    <n v="79.989999999999995"/>
    <s v="Cash"/>
    <x v="2"/>
    <x v="0"/>
    <x v="105"/>
    <n v="319.95999999999998"/>
  </r>
  <r>
    <s v="TRX0161"/>
    <x v="70"/>
    <x v="6"/>
    <x v="6"/>
    <x v="7"/>
    <x v="7"/>
    <x v="1"/>
    <x v="3"/>
    <n v="79.989999999999995"/>
    <s v="Cash"/>
    <x v="3"/>
    <x v="0"/>
    <x v="106"/>
    <n v="79.989999999999995"/>
  </r>
  <r>
    <s v="TRX0108"/>
    <x v="71"/>
    <x v="5"/>
    <x v="5"/>
    <x v="6"/>
    <x v="6"/>
    <x v="2"/>
    <x v="0"/>
    <n v="299.99"/>
    <s v="Credit Card"/>
    <x v="0"/>
    <x v="1"/>
    <x v="107"/>
    <n v="899.97"/>
  </r>
  <r>
    <s v="TRX0211"/>
    <x v="72"/>
    <x v="3"/>
    <x v="3"/>
    <x v="8"/>
    <x v="8"/>
    <x v="0"/>
    <x v="2"/>
    <n v="89.99"/>
    <s v="Credit Card"/>
    <x v="1"/>
    <x v="1"/>
    <x v="108"/>
    <n v="179.98"/>
  </r>
  <r>
    <s v="TRX0005"/>
    <x v="73"/>
    <x v="43"/>
    <x v="43"/>
    <x v="3"/>
    <x v="3"/>
    <x v="0"/>
    <x v="4"/>
    <n v="149.99"/>
    <s v="Cash"/>
    <x v="2"/>
    <x v="0"/>
    <x v="67"/>
    <n v="599.96"/>
  </r>
  <r>
    <s v="TRX0195"/>
    <x v="74"/>
    <x v="8"/>
    <x v="8"/>
    <x v="0"/>
    <x v="0"/>
    <x v="0"/>
    <x v="2"/>
    <n v="249.99"/>
    <s v="PayPal"/>
    <x v="1"/>
    <x v="0"/>
    <x v="57"/>
    <n v="499.98"/>
  </r>
  <r>
    <s v="TRX0054"/>
    <x v="74"/>
    <x v="31"/>
    <x v="31"/>
    <x v="9"/>
    <x v="9"/>
    <x v="2"/>
    <x v="4"/>
    <n v="199.99"/>
    <s v="Debit Card"/>
    <x v="4"/>
    <x v="0"/>
    <x v="90"/>
    <n v="799.96"/>
  </r>
  <r>
    <s v="TRX0077"/>
    <x v="75"/>
    <x v="29"/>
    <x v="29"/>
    <x v="8"/>
    <x v="8"/>
    <x v="0"/>
    <x v="1"/>
    <n v="89.99"/>
    <s v="Credit Card"/>
    <x v="4"/>
    <x v="1"/>
    <x v="109"/>
    <n v="449.95"/>
  </r>
  <r>
    <s v="TRX0111"/>
    <x v="75"/>
    <x v="44"/>
    <x v="44"/>
    <x v="3"/>
    <x v="3"/>
    <x v="0"/>
    <x v="3"/>
    <n v="149.99"/>
    <s v="PayPal"/>
    <x v="4"/>
    <x v="2"/>
    <x v="110"/>
    <n v="149.99"/>
  </r>
  <r>
    <s v="TRX0123"/>
    <x v="75"/>
    <x v="10"/>
    <x v="10"/>
    <x v="5"/>
    <x v="5"/>
    <x v="0"/>
    <x v="4"/>
    <n v="699.99"/>
    <s v="PayPal"/>
    <x v="1"/>
    <x v="0"/>
    <x v="111"/>
    <n v="2799.96"/>
  </r>
  <r>
    <s v="TRX0177"/>
    <x v="76"/>
    <x v="42"/>
    <x v="42"/>
    <x v="4"/>
    <x v="4"/>
    <x v="0"/>
    <x v="0"/>
    <n v="899.99"/>
    <s v="Credit Card"/>
    <x v="2"/>
    <x v="2"/>
    <x v="112"/>
    <n v="2699.97"/>
  </r>
  <r>
    <s v="TRX0119"/>
    <x v="77"/>
    <x v="21"/>
    <x v="21"/>
    <x v="2"/>
    <x v="2"/>
    <x v="2"/>
    <x v="0"/>
    <n v="149.99"/>
    <s v="PayPal"/>
    <x v="4"/>
    <x v="0"/>
    <x v="113"/>
    <n v="449.97"/>
  </r>
  <r>
    <s v="TRX0181"/>
    <x v="78"/>
    <x v="18"/>
    <x v="18"/>
    <x v="6"/>
    <x v="6"/>
    <x v="2"/>
    <x v="2"/>
    <n v="299.99"/>
    <s v="Debit Card"/>
    <x v="0"/>
    <x v="0"/>
    <x v="114"/>
    <n v="599.98"/>
  </r>
  <r>
    <s v="TRX0129"/>
    <x v="79"/>
    <x v="45"/>
    <x v="45"/>
    <x v="9"/>
    <x v="9"/>
    <x v="2"/>
    <x v="3"/>
    <n v="199.99"/>
    <s v="Debit Card"/>
    <x v="4"/>
    <x v="2"/>
    <x v="115"/>
    <n v="199.99"/>
  </r>
  <r>
    <s v="TRX0174"/>
    <x v="80"/>
    <x v="4"/>
    <x v="4"/>
    <x v="6"/>
    <x v="6"/>
    <x v="2"/>
    <x v="4"/>
    <n v="299.99"/>
    <s v="Cash"/>
    <x v="0"/>
    <x v="1"/>
    <x v="116"/>
    <n v="1199.96"/>
  </r>
  <r>
    <s v="TRX0146"/>
    <x v="81"/>
    <x v="15"/>
    <x v="15"/>
    <x v="1"/>
    <x v="1"/>
    <x v="1"/>
    <x v="2"/>
    <n v="59.99"/>
    <s v="Credit Card"/>
    <x v="0"/>
    <x v="0"/>
    <x v="47"/>
    <n v="119.98"/>
  </r>
  <r>
    <s v="TRX0203"/>
    <x v="81"/>
    <x v="42"/>
    <x v="42"/>
    <x v="3"/>
    <x v="3"/>
    <x v="0"/>
    <x v="4"/>
    <n v="149.99"/>
    <s v="Credit Card"/>
    <x v="2"/>
    <x v="1"/>
    <x v="117"/>
    <n v="599.96"/>
  </r>
  <r>
    <s v="TRX0055"/>
    <x v="82"/>
    <x v="39"/>
    <x v="39"/>
    <x v="5"/>
    <x v="5"/>
    <x v="0"/>
    <x v="2"/>
    <n v="699.99"/>
    <s v="Debit Card"/>
    <x v="4"/>
    <x v="1"/>
    <x v="118"/>
    <n v="1399.98"/>
  </r>
  <r>
    <s v="TRX0218"/>
    <x v="82"/>
    <x v="41"/>
    <x v="41"/>
    <x v="2"/>
    <x v="2"/>
    <x v="2"/>
    <x v="0"/>
    <n v="149.99"/>
    <s v="Credit Card"/>
    <x v="1"/>
    <x v="2"/>
    <x v="119"/>
    <n v="449.97"/>
  </r>
  <r>
    <s v="TRX0085"/>
    <x v="83"/>
    <x v="29"/>
    <x v="29"/>
    <x v="6"/>
    <x v="6"/>
    <x v="2"/>
    <x v="0"/>
    <n v="299.99"/>
    <s v="Credit Card"/>
    <x v="0"/>
    <x v="2"/>
    <x v="120"/>
    <n v="899.97"/>
  </r>
  <r>
    <s v="TRX0158"/>
    <x v="84"/>
    <x v="13"/>
    <x v="13"/>
    <x v="4"/>
    <x v="4"/>
    <x v="0"/>
    <x v="0"/>
    <n v="899.99"/>
    <s v="PayPal"/>
    <x v="3"/>
    <x v="0"/>
    <x v="121"/>
    <n v="2699.97"/>
  </r>
  <r>
    <s v="TRX0173"/>
    <x v="85"/>
    <x v="17"/>
    <x v="17"/>
    <x v="5"/>
    <x v="5"/>
    <x v="0"/>
    <x v="1"/>
    <n v="699.99"/>
    <s v="Cash"/>
    <x v="4"/>
    <x v="2"/>
    <x v="122"/>
    <n v="3499.95"/>
  </r>
  <r>
    <s v="TRX0034"/>
    <x v="85"/>
    <x v="34"/>
    <x v="34"/>
    <x v="5"/>
    <x v="5"/>
    <x v="0"/>
    <x v="4"/>
    <n v="699.99"/>
    <s v="Credit Card"/>
    <x v="0"/>
    <x v="0"/>
    <x v="123"/>
    <n v="2799.96"/>
  </r>
  <r>
    <s v="TRX0189"/>
    <x v="85"/>
    <x v="30"/>
    <x v="30"/>
    <x v="4"/>
    <x v="4"/>
    <x v="0"/>
    <x v="3"/>
    <n v="899.99"/>
    <s v="Credit Card"/>
    <x v="4"/>
    <x v="2"/>
    <x v="124"/>
    <n v="899.99"/>
  </r>
  <r>
    <s v="TRX0190"/>
    <x v="86"/>
    <x v="40"/>
    <x v="40"/>
    <x v="3"/>
    <x v="3"/>
    <x v="0"/>
    <x v="2"/>
    <n v="149.99"/>
    <s v="Credit Card"/>
    <x v="3"/>
    <x v="0"/>
    <x v="125"/>
    <n v="299.98"/>
  </r>
  <r>
    <s v="TRX0079"/>
    <x v="87"/>
    <x v="40"/>
    <x v="40"/>
    <x v="8"/>
    <x v="8"/>
    <x v="0"/>
    <x v="0"/>
    <n v="89.99"/>
    <s v="PayPal"/>
    <x v="0"/>
    <x v="0"/>
    <x v="126"/>
    <n v="269.97000000000003"/>
  </r>
  <r>
    <s v="TRX0095"/>
    <x v="88"/>
    <x v="3"/>
    <x v="3"/>
    <x v="3"/>
    <x v="3"/>
    <x v="0"/>
    <x v="2"/>
    <n v="149.99"/>
    <s v="PayPal"/>
    <x v="0"/>
    <x v="0"/>
    <x v="127"/>
    <n v="299.98"/>
  </r>
  <r>
    <s v="TRX0009"/>
    <x v="88"/>
    <x v="31"/>
    <x v="31"/>
    <x v="5"/>
    <x v="5"/>
    <x v="0"/>
    <x v="2"/>
    <n v="699.99"/>
    <s v="Cash"/>
    <x v="0"/>
    <x v="0"/>
    <x v="128"/>
    <n v="1399.98"/>
  </r>
  <r>
    <s v="TRX0167"/>
    <x v="89"/>
    <x v="32"/>
    <x v="32"/>
    <x v="5"/>
    <x v="5"/>
    <x v="0"/>
    <x v="1"/>
    <n v="699.99"/>
    <s v="Cash"/>
    <x v="2"/>
    <x v="1"/>
    <x v="129"/>
    <n v="3499.95"/>
  </r>
  <r>
    <s v="TRX0153"/>
    <x v="90"/>
    <x v="34"/>
    <x v="34"/>
    <x v="8"/>
    <x v="8"/>
    <x v="0"/>
    <x v="0"/>
    <n v="89.99"/>
    <s v="Credit Card"/>
    <x v="2"/>
    <x v="2"/>
    <x v="130"/>
    <n v="269.97000000000003"/>
  </r>
  <r>
    <s v="TRX0057"/>
    <x v="91"/>
    <x v="0"/>
    <x v="0"/>
    <x v="0"/>
    <x v="0"/>
    <x v="0"/>
    <x v="1"/>
    <n v="249.99"/>
    <s v="Credit Card"/>
    <x v="1"/>
    <x v="2"/>
    <x v="131"/>
    <n v="1249.95"/>
  </r>
  <r>
    <s v="TRX0017"/>
    <x v="92"/>
    <x v="8"/>
    <x v="8"/>
    <x v="6"/>
    <x v="6"/>
    <x v="2"/>
    <x v="0"/>
    <n v="299.99"/>
    <s v="Credit Card"/>
    <x v="1"/>
    <x v="2"/>
    <x v="132"/>
    <n v="899.97"/>
  </r>
  <r>
    <s v="TRX0060"/>
    <x v="93"/>
    <x v="18"/>
    <x v="18"/>
    <x v="8"/>
    <x v="8"/>
    <x v="0"/>
    <x v="0"/>
    <n v="89.99"/>
    <s v="Credit Card"/>
    <x v="2"/>
    <x v="1"/>
    <x v="133"/>
    <n v="269.97000000000003"/>
  </r>
  <r>
    <s v="TRX0109"/>
    <x v="94"/>
    <x v="15"/>
    <x v="15"/>
    <x v="2"/>
    <x v="2"/>
    <x v="2"/>
    <x v="2"/>
    <n v="149.99"/>
    <s v="Credit Card"/>
    <x v="3"/>
    <x v="1"/>
    <x v="134"/>
    <n v="299.98"/>
  </r>
  <r>
    <s v="TRX0090"/>
    <x v="95"/>
    <x v="36"/>
    <x v="36"/>
    <x v="0"/>
    <x v="0"/>
    <x v="0"/>
    <x v="3"/>
    <n v="249.99"/>
    <s v="Credit Card"/>
    <x v="2"/>
    <x v="1"/>
    <x v="135"/>
    <n v="249.99"/>
  </r>
  <r>
    <s v="TRX0035"/>
    <x v="96"/>
    <x v="10"/>
    <x v="10"/>
    <x v="3"/>
    <x v="3"/>
    <x v="0"/>
    <x v="0"/>
    <n v="149.99"/>
    <s v="Cash"/>
    <x v="2"/>
    <x v="0"/>
    <x v="136"/>
    <n v="449.97"/>
  </r>
  <r>
    <s v="TRX0172"/>
    <x v="96"/>
    <x v="0"/>
    <x v="0"/>
    <x v="1"/>
    <x v="1"/>
    <x v="1"/>
    <x v="1"/>
    <n v="59.99"/>
    <s v="PayPal"/>
    <x v="3"/>
    <x v="1"/>
    <x v="137"/>
    <n v="299.95"/>
  </r>
  <r>
    <s v="TRX0076"/>
    <x v="96"/>
    <x v="18"/>
    <x v="18"/>
    <x v="0"/>
    <x v="0"/>
    <x v="0"/>
    <x v="4"/>
    <n v="249.99"/>
    <s v="Credit Card"/>
    <x v="3"/>
    <x v="2"/>
    <x v="138"/>
    <n v="999.96"/>
  </r>
  <r>
    <s v="TRX0210"/>
    <x v="97"/>
    <x v="31"/>
    <x v="31"/>
    <x v="2"/>
    <x v="2"/>
    <x v="2"/>
    <x v="1"/>
    <n v="149.99"/>
    <s v="PayPal"/>
    <x v="0"/>
    <x v="0"/>
    <x v="139"/>
    <n v="749.95"/>
  </r>
  <r>
    <s v="TRX0149"/>
    <x v="97"/>
    <x v="13"/>
    <x v="13"/>
    <x v="1"/>
    <x v="1"/>
    <x v="1"/>
    <x v="0"/>
    <n v="59.99"/>
    <s v="Debit Card"/>
    <x v="1"/>
    <x v="2"/>
    <x v="140"/>
    <n v="179.97"/>
  </r>
  <r>
    <s v="TRX0073"/>
    <x v="98"/>
    <x v="42"/>
    <x v="42"/>
    <x v="2"/>
    <x v="2"/>
    <x v="2"/>
    <x v="1"/>
    <n v="149.99"/>
    <s v="Cash"/>
    <x v="2"/>
    <x v="0"/>
    <x v="141"/>
    <n v="749.95"/>
  </r>
  <r>
    <s v="TRX0033"/>
    <x v="98"/>
    <x v="14"/>
    <x v="14"/>
    <x v="5"/>
    <x v="5"/>
    <x v="0"/>
    <x v="2"/>
    <n v="699.99"/>
    <s v="PayPal"/>
    <x v="3"/>
    <x v="2"/>
    <x v="142"/>
    <n v="1399.98"/>
  </r>
  <r>
    <s v="TRX0160"/>
    <x v="99"/>
    <x v="23"/>
    <x v="23"/>
    <x v="9"/>
    <x v="9"/>
    <x v="2"/>
    <x v="4"/>
    <n v="199.99"/>
    <s v="Debit Card"/>
    <x v="0"/>
    <x v="1"/>
    <x v="143"/>
    <n v="799.96"/>
  </r>
  <r>
    <s v="TRX0145"/>
    <x v="100"/>
    <x v="37"/>
    <x v="37"/>
    <x v="1"/>
    <x v="1"/>
    <x v="1"/>
    <x v="3"/>
    <n v="59.99"/>
    <s v="Debit Card"/>
    <x v="3"/>
    <x v="2"/>
    <x v="144"/>
    <n v="59.99"/>
  </r>
  <r>
    <s v="TRX0148"/>
    <x v="100"/>
    <x v="31"/>
    <x v="31"/>
    <x v="5"/>
    <x v="5"/>
    <x v="0"/>
    <x v="0"/>
    <n v="699.99"/>
    <s v="PayPal"/>
    <x v="3"/>
    <x v="2"/>
    <x v="145"/>
    <n v="2099.9699999999998"/>
  </r>
  <r>
    <s v="TRX0012"/>
    <x v="101"/>
    <x v="46"/>
    <x v="46"/>
    <x v="0"/>
    <x v="0"/>
    <x v="0"/>
    <x v="1"/>
    <n v="249.99"/>
    <s v="Credit Card"/>
    <x v="2"/>
    <x v="0"/>
    <x v="146"/>
    <n v="1249.95"/>
  </r>
  <r>
    <s v="TRX0206"/>
    <x v="102"/>
    <x v="21"/>
    <x v="21"/>
    <x v="2"/>
    <x v="2"/>
    <x v="2"/>
    <x v="2"/>
    <n v="149.99"/>
    <s v="Cash"/>
    <x v="1"/>
    <x v="2"/>
    <x v="147"/>
    <n v="299.98"/>
  </r>
  <r>
    <s v="TRX0045"/>
    <x v="103"/>
    <x v="2"/>
    <x v="2"/>
    <x v="6"/>
    <x v="6"/>
    <x v="2"/>
    <x v="0"/>
    <n v="299.99"/>
    <s v="Cash"/>
    <x v="1"/>
    <x v="1"/>
    <x v="138"/>
    <n v="899.97"/>
  </r>
  <r>
    <s v="TRX0094"/>
    <x v="103"/>
    <x v="6"/>
    <x v="6"/>
    <x v="0"/>
    <x v="0"/>
    <x v="0"/>
    <x v="1"/>
    <n v="249.99"/>
    <s v="Cash"/>
    <x v="0"/>
    <x v="1"/>
    <x v="148"/>
    <n v="1249.95"/>
  </r>
  <r>
    <s v="TRX0133"/>
    <x v="103"/>
    <x v="1"/>
    <x v="1"/>
    <x v="3"/>
    <x v="3"/>
    <x v="0"/>
    <x v="2"/>
    <n v="149.99"/>
    <s v="Cash"/>
    <x v="1"/>
    <x v="1"/>
    <x v="149"/>
    <n v="299.98"/>
  </r>
  <r>
    <s v="TRX0201"/>
    <x v="103"/>
    <x v="14"/>
    <x v="14"/>
    <x v="5"/>
    <x v="5"/>
    <x v="0"/>
    <x v="1"/>
    <n v="699.99"/>
    <s v="Debit Card"/>
    <x v="3"/>
    <x v="2"/>
    <x v="150"/>
    <n v="3499.95"/>
  </r>
  <r>
    <s v="TRX0137"/>
    <x v="104"/>
    <x v="44"/>
    <x v="44"/>
    <x v="0"/>
    <x v="0"/>
    <x v="0"/>
    <x v="4"/>
    <n v="249.99"/>
    <s v="PayPal"/>
    <x v="4"/>
    <x v="1"/>
    <x v="151"/>
    <n v="999.96"/>
  </r>
  <r>
    <s v="TRX0066"/>
    <x v="105"/>
    <x v="5"/>
    <x v="5"/>
    <x v="5"/>
    <x v="5"/>
    <x v="0"/>
    <x v="4"/>
    <n v="699.99"/>
    <s v="Credit Card"/>
    <x v="2"/>
    <x v="1"/>
    <x v="152"/>
    <n v="2799.96"/>
  </r>
  <r>
    <s v="TRX0180"/>
    <x v="106"/>
    <x v="20"/>
    <x v="20"/>
    <x v="0"/>
    <x v="0"/>
    <x v="0"/>
    <x v="2"/>
    <n v="249.99"/>
    <s v="Credit Card"/>
    <x v="0"/>
    <x v="1"/>
    <x v="153"/>
    <n v="499.98"/>
  </r>
  <r>
    <s v="TRX0082"/>
    <x v="106"/>
    <x v="47"/>
    <x v="47"/>
    <x v="1"/>
    <x v="1"/>
    <x v="1"/>
    <x v="0"/>
    <n v="59.99"/>
    <s v="Cash"/>
    <x v="0"/>
    <x v="1"/>
    <x v="154"/>
    <n v="179.97"/>
  </r>
  <r>
    <s v="TRX0036"/>
    <x v="106"/>
    <x v="27"/>
    <x v="27"/>
    <x v="7"/>
    <x v="7"/>
    <x v="1"/>
    <x v="4"/>
    <n v="79.989999999999995"/>
    <s v="Debit Card"/>
    <x v="4"/>
    <x v="2"/>
    <x v="155"/>
    <n v="319.95999999999998"/>
  </r>
  <r>
    <s v="TRX0198"/>
    <x v="107"/>
    <x v="22"/>
    <x v="22"/>
    <x v="7"/>
    <x v="7"/>
    <x v="1"/>
    <x v="0"/>
    <n v="79.989999999999995"/>
    <s v="Debit Card"/>
    <x v="4"/>
    <x v="2"/>
    <x v="96"/>
    <n v="239.97"/>
  </r>
  <r>
    <s v="TRX0032"/>
    <x v="108"/>
    <x v="10"/>
    <x v="10"/>
    <x v="4"/>
    <x v="4"/>
    <x v="0"/>
    <x v="2"/>
    <n v="899.99"/>
    <s v="Cash"/>
    <x v="2"/>
    <x v="0"/>
    <x v="156"/>
    <n v="1799.98"/>
  </r>
  <r>
    <s v="TRX0081"/>
    <x v="109"/>
    <x v="35"/>
    <x v="35"/>
    <x v="2"/>
    <x v="2"/>
    <x v="2"/>
    <x v="3"/>
    <n v="149.99"/>
    <s v="Debit Card"/>
    <x v="4"/>
    <x v="2"/>
    <x v="157"/>
    <n v="149.99"/>
  </r>
  <r>
    <s v="TRX0224"/>
    <x v="109"/>
    <x v="26"/>
    <x v="26"/>
    <x v="6"/>
    <x v="6"/>
    <x v="2"/>
    <x v="2"/>
    <n v="299.99"/>
    <s v="Cash"/>
    <x v="4"/>
    <x v="1"/>
    <x v="158"/>
    <n v="599.98"/>
  </r>
  <r>
    <s v="TRX0028"/>
    <x v="110"/>
    <x v="25"/>
    <x v="25"/>
    <x v="1"/>
    <x v="1"/>
    <x v="1"/>
    <x v="2"/>
    <n v="59.99"/>
    <s v="Cash"/>
    <x v="3"/>
    <x v="0"/>
    <x v="159"/>
    <n v="119.98"/>
  </r>
  <r>
    <s v="TRX0183"/>
    <x v="111"/>
    <x v="35"/>
    <x v="35"/>
    <x v="8"/>
    <x v="8"/>
    <x v="0"/>
    <x v="3"/>
    <n v="89.99"/>
    <s v="Debit Card"/>
    <x v="0"/>
    <x v="2"/>
    <x v="160"/>
    <n v="89.99"/>
  </r>
  <r>
    <s v="TRX0163"/>
    <x v="111"/>
    <x v="29"/>
    <x v="29"/>
    <x v="4"/>
    <x v="4"/>
    <x v="0"/>
    <x v="1"/>
    <n v="899.99"/>
    <s v="Debit Card"/>
    <x v="4"/>
    <x v="2"/>
    <x v="161"/>
    <n v="4499.95"/>
  </r>
  <r>
    <s v="TRX0046"/>
    <x v="112"/>
    <x v="4"/>
    <x v="4"/>
    <x v="2"/>
    <x v="2"/>
    <x v="2"/>
    <x v="2"/>
    <n v="149.99"/>
    <s v="Cash"/>
    <x v="1"/>
    <x v="0"/>
    <x v="162"/>
    <n v="299.98"/>
  </r>
  <r>
    <s v="TRX0164"/>
    <x v="113"/>
    <x v="21"/>
    <x v="21"/>
    <x v="3"/>
    <x v="3"/>
    <x v="0"/>
    <x v="2"/>
    <n v="149.99"/>
    <s v="Debit Card"/>
    <x v="3"/>
    <x v="1"/>
    <x v="163"/>
    <n v="299.98"/>
  </r>
  <r>
    <s v="TRX0008"/>
    <x v="113"/>
    <x v="35"/>
    <x v="35"/>
    <x v="2"/>
    <x v="2"/>
    <x v="2"/>
    <x v="0"/>
    <n v="149.99"/>
    <s v="Debit Card"/>
    <x v="2"/>
    <x v="2"/>
    <x v="164"/>
    <n v="449.97"/>
  </r>
  <r>
    <s v="TRX0171"/>
    <x v="114"/>
    <x v="2"/>
    <x v="2"/>
    <x v="6"/>
    <x v="6"/>
    <x v="2"/>
    <x v="2"/>
    <n v="299.99"/>
    <s v="PayPal"/>
    <x v="1"/>
    <x v="0"/>
    <x v="165"/>
    <n v="599.98"/>
  </r>
  <r>
    <s v="TRX0143"/>
    <x v="115"/>
    <x v="4"/>
    <x v="4"/>
    <x v="6"/>
    <x v="6"/>
    <x v="2"/>
    <x v="2"/>
    <n v="299.99"/>
    <s v="Cash"/>
    <x v="3"/>
    <x v="0"/>
    <x v="166"/>
    <n v="599.98"/>
  </r>
  <r>
    <s v="TRX0165"/>
    <x v="115"/>
    <x v="22"/>
    <x v="22"/>
    <x v="9"/>
    <x v="9"/>
    <x v="2"/>
    <x v="4"/>
    <n v="199.99"/>
    <s v="Credit Card"/>
    <x v="0"/>
    <x v="0"/>
    <x v="82"/>
    <n v="799.96"/>
  </r>
  <r>
    <s v="TRX0156"/>
    <x v="116"/>
    <x v="7"/>
    <x v="7"/>
    <x v="8"/>
    <x v="8"/>
    <x v="0"/>
    <x v="3"/>
    <n v="89.99"/>
    <s v="Credit Card"/>
    <x v="1"/>
    <x v="1"/>
    <x v="167"/>
    <n v="89.99"/>
  </r>
  <r>
    <s v="TRX0147"/>
    <x v="116"/>
    <x v="20"/>
    <x v="20"/>
    <x v="2"/>
    <x v="2"/>
    <x v="2"/>
    <x v="1"/>
    <n v="149.99"/>
    <s v="Cash"/>
    <x v="0"/>
    <x v="1"/>
    <x v="168"/>
    <n v="749.95"/>
  </r>
  <r>
    <s v="TRX0207"/>
    <x v="117"/>
    <x v="14"/>
    <x v="14"/>
    <x v="4"/>
    <x v="4"/>
    <x v="0"/>
    <x v="3"/>
    <n v="899.99"/>
    <s v="PayPal"/>
    <x v="2"/>
    <x v="1"/>
    <x v="169"/>
    <n v="899.99"/>
  </r>
  <r>
    <s v="TRX0056"/>
    <x v="118"/>
    <x v="29"/>
    <x v="29"/>
    <x v="8"/>
    <x v="8"/>
    <x v="0"/>
    <x v="2"/>
    <n v="89.99"/>
    <s v="Credit Card"/>
    <x v="1"/>
    <x v="1"/>
    <x v="170"/>
    <n v="179.98"/>
  </r>
  <r>
    <s v="TRX0026"/>
    <x v="119"/>
    <x v="48"/>
    <x v="48"/>
    <x v="4"/>
    <x v="4"/>
    <x v="0"/>
    <x v="3"/>
    <n v="899.99"/>
    <s v="PayPal"/>
    <x v="2"/>
    <x v="2"/>
    <x v="171"/>
    <n v="899.99"/>
  </r>
  <r>
    <s v="TRX0237"/>
    <x v="120"/>
    <x v="24"/>
    <x v="24"/>
    <x v="3"/>
    <x v="3"/>
    <x v="0"/>
    <x v="1"/>
    <n v="149.99"/>
    <s v="PayPal"/>
    <x v="4"/>
    <x v="1"/>
    <x v="34"/>
    <n v="749.95"/>
  </r>
  <r>
    <s v="TRX0091"/>
    <x v="120"/>
    <x v="4"/>
    <x v="4"/>
    <x v="6"/>
    <x v="6"/>
    <x v="2"/>
    <x v="0"/>
    <n v="299.99"/>
    <s v="Cash"/>
    <x v="1"/>
    <x v="2"/>
    <x v="172"/>
    <n v="899.97"/>
  </r>
  <r>
    <s v="TRX0125"/>
    <x v="121"/>
    <x v="8"/>
    <x v="8"/>
    <x v="5"/>
    <x v="5"/>
    <x v="0"/>
    <x v="0"/>
    <n v="699.99"/>
    <s v="Credit Card"/>
    <x v="0"/>
    <x v="1"/>
    <x v="173"/>
    <n v="2099.9699999999998"/>
  </r>
  <r>
    <s v="TRX0223"/>
    <x v="122"/>
    <x v="20"/>
    <x v="20"/>
    <x v="9"/>
    <x v="9"/>
    <x v="2"/>
    <x v="1"/>
    <n v="199.99"/>
    <s v="PayPal"/>
    <x v="0"/>
    <x v="2"/>
    <x v="174"/>
    <n v="999.95"/>
  </r>
  <r>
    <s v="TRX0243"/>
    <x v="122"/>
    <x v="16"/>
    <x v="16"/>
    <x v="0"/>
    <x v="0"/>
    <x v="0"/>
    <x v="1"/>
    <n v="249.99"/>
    <s v="Credit Card"/>
    <x v="1"/>
    <x v="0"/>
    <x v="175"/>
    <n v="1249.95"/>
  </r>
  <r>
    <s v="TRX0084"/>
    <x v="123"/>
    <x v="26"/>
    <x v="26"/>
    <x v="3"/>
    <x v="3"/>
    <x v="0"/>
    <x v="4"/>
    <n v="149.99"/>
    <s v="Debit Card"/>
    <x v="4"/>
    <x v="2"/>
    <x v="176"/>
    <n v="599.96"/>
  </r>
  <r>
    <s v="TRX0238"/>
    <x v="123"/>
    <x v="12"/>
    <x v="12"/>
    <x v="5"/>
    <x v="5"/>
    <x v="0"/>
    <x v="0"/>
    <n v="699.99"/>
    <s v="Cash"/>
    <x v="2"/>
    <x v="1"/>
    <x v="177"/>
    <n v="2099.9699999999998"/>
  </r>
  <r>
    <s v="TRX0102"/>
    <x v="124"/>
    <x v="46"/>
    <x v="46"/>
    <x v="7"/>
    <x v="7"/>
    <x v="1"/>
    <x v="3"/>
    <n v="79.989999999999995"/>
    <s v="Credit Card"/>
    <x v="1"/>
    <x v="0"/>
    <x v="178"/>
    <n v="79.989999999999995"/>
  </r>
  <r>
    <s v="TRX0022"/>
    <x v="124"/>
    <x v="14"/>
    <x v="14"/>
    <x v="6"/>
    <x v="6"/>
    <x v="2"/>
    <x v="3"/>
    <n v="299.99"/>
    <s v="Credit Card"/>
    <x v="2"/>
    <x v="0"/>
    <x v="179"/>
    <n v="299.99"/>
  </r>
  <r>
    <s v="TRX0087"/>
    <x v="125"/>
    <x v="32"/>
    <x v="32"/>
    <x v="0"/>
    <x v="0"/>
    <x v="0"/>
    <x v="4"/>
    <n v="249.99"/>
    <s v="Credit Card"/>
    <x v="2"/>
    <x v="1"/>
    <x v="116"/>
    <n v="999.96"/>
  </r>
  <r>
    <s v="TRX0107"/>
    <x v="125"/>
    <x v="22"/>
    <x v="22"/>
    <x v="3"/>
    <x v="3"/>
    <x v="0"/>
    <x v="2"/>
    <n v="149.99"/>
    <s v="Cash"/>
    <x v="2"/>
    <x v="2"/>
    <x v="180"/>
    <n v="299.98"/>
  </r>
  <r>
    <s v="TRX0051"/>
    <x v="125"/>
    <x v="42"/>
    <x v="42"/>
    <x v="6"/>
    <x v="6"/>
    <x v="2"/>
    <x v="0"/>
    <n v="299.99"/>
    <s v="Credit Card"/>
    <x v="1"/>
    <x v="0"/>
    <x v="181"/>
    <n v="899.97"/>
  </r>
  <r>
    <s v="TRX0106"/>
    <x v="126"/>
    <x v="40"/>
    <x v="40"/>
    <x v="9"/>
    <x v="9"/>
    <x v="2"/>
    <x v="4"/>
    <n v="199.99"/>
    <s v="Debit Card"/>
    <x v="1"/>
    <x v="2"/>
    <x v="182"/>
    <n v="799.96"/>
  </r>
  <r>
    <s v="TRX0059"/>
    <x v="126"/>
    <x v="39"/>
    <x v="39"/>
    <x v="6"/>
    <x v="6"/>
    <x v="2"/>
    <x v="1"/>
    <n v="299.99"/>
    <s v="Debit Card"/>
    <x v="0"/>
    <x v="0"/>
    <x v="183"/>
    <n v="1499.95"/>
  </r>
  <r>
    <s v="TRX0072"/>
    <x v="126"/>
    <x v="7"/>
    <x v="7"/>
    <x v="2"/>
    <x v="2"/>
    <x v="2"/>
    <x v="0"/>
    <n v="149.99"/>
    <s v="Credit Card"/>
    <x v="4"/>
    <x v="2"/>
    <x v="184"/>
    <n v="449.97"/>
  </r>
  <r>
    <s v="TRX0110"/>
    <x v="127"/>
    <x v="24"/>
    <x v="24"/>
    <x v="1"/>
    <x v="1"/>
    <x v="1"/>
    <x v="1"/>
    <n v="59.99"/>
    <s v="Debit Card"/>
    <x v="4"/>
    <x v="0"/>
    <x v="185"/>
    <n v="299.95"/>
  </r>
  <r>
    <s v="TRX0126"/>
    <x v="128"/>
    <x v="9"/>
    <x v="9"/>
    <x v="1"/>
    <x v="1"/>
    <x v="1"/>
    <x v="4"/>
    <n v="59.99"/>
    <s v="Debit Card"/>
    <x v="4"/>
    <x v="2"/>
    <x v="170"/>
    <n v="239.96"/>
  </r>
  <r>
    <s v="TRX0159"/>
    <x v="129"/>
    <x v="5"/>
    <x v="5"/>
    <x v="0"/>
    <x v="0"/>
    <x v="0"/>
    <x v="4"/>
    <n v="249.99"/>
    <s v="Debit Card"/>
    <x v="0"/>
    <x v="1"/>
    <x v="186"/>
    <n v="999.96"/>
  </r>
  <r>
    <s v="TRX0030"/>
    <x v="130"/>
    <x v="44"/>
    <x v="44"/>
    <x v="4"/>
    <x v="4"/>
    <x v="0"/>
    <x v="4"/>
    <n v="899.99"/>
    <s v="PayPal"/>
    <x v="0"/>
    <x v="0"/>
    <x v="187"/>
    <n v="3599.96"/>
  </r>
  <r>
    <s v="TRX0178"/>
    <x v="130"/>
    <x v="14"/>
    <x v="14"/>
    <x v="6"/>
    <x v="6"/>
    <x v="2"/>
    <x v="0"/>
    <n v="299.99"/>
    <s v="Debit Card"/>
    <x v="3"/>
    <x v="2"/>
    <x v="188"/>
    <n v="899.97"/>
  </r>
  <r>
    <s v="TRX0188"/>
    <x v="130"/>
    <x v="46"/>
    <x v="46"/>
    <x v="5"/>
    <x v="5"/>
    <x v="0"/>
    <x v="2"/>
    <n v="699.99"/>
    <s v="Debit Card"/>
    <x v="0"/>
    <x v="1"/>
    <x v="189"/>
    <n v="1399.98"/>
  </r>
  <r>
    <s v="TRX0010"/>
    <x v="131"/>
    <x v="8"/>
    <x v="8"/>
    <x v="5"/>
    <x v="5"/>
    <x v="0"/>
    <x v="4"/>
    <n v="699.99"/>
    <s v="Debit Card"/>
    <x v="3"/>
    <x v="1"/>
    <x v="190"/>
    <n v="2799.96"/>
  </r>
  <r>
    <s v="TRX0069"/>
    <x v="131"/>
    <x v="23"/>
    <x v="23"/>
    <x v="8"/>
    <x v="8"/>
    <x v="0"/>
    <x v="2"/>
    <n v="89.99"/>
    <s v="Debit Card"/>
    <x v="1"/>
    <x v="0"/>
    <x v="191"/>
    <n v="179.98"/>
  </r>
  <r>
    <s v="TRX0166"/>
    <x v="131"/>
    <x v="4"/>
    <x v="4"/>
    <x v="8"/>
    <x v="8"/>
    <x v="0"/>
    <x v="0"/>
    <n v="89.99"/>
    <s v="Debit Card"/>
    <x v="1"/>
    <x v="1"/>
    <x v="192"/>
    <n v="269.97000000000003"/>
  </r>
  <r>
    <s v="TRX0219"/>
    <x v="132"/>
    <x v="48"/>
    <x v="48"/>
    <x v="1"/>
    <x v="1"/>
    <x v="1"/>
    <x v="3"/>
    <n v="59.99"/>
    <s v="Debit Card"/>
    <x v="0"/>
    <x v="2"/>
    <x v="193"/>
    <n v="59.99"/>
  </r>
  <r>
    <s v="TRX0024"/>
    <x v="133"/>
    <x v="43"/>
    <x v="43"/>
    <x v="2"/>
    <x v="2"/>
    <x v="2"/>
    <x v="0"/>
    <n v="149.99"/>
    <s v="Debit Card"/>
    <x v="2"/>
    <x v="1"/>
    <x v="170"/>
    <n v="449.97"/>
  </r>
  <r>
    <s v="TRX0105"/>
    <x v="133"/>
    <x v="16"/>
    <x v="16"/>
    <x v="6"/>
    <x v="6"/>
    <x v="2"/>
    <x v="1"/>
    <n v="299.99"/>
    <s v="Credit Card"/>
    <x v="1"/>
    <x v="0"/>
    <x v="194"/>
    <n v="1499.95"/>
  </r>
  <r>
    <s v="TRX0011"/>
    <x v="134"/>
    <x v="30"/>
    <x v="30"/>
    <x v="1"/>
    <x v="1"/>
    <x v="1"/>
    <x v="1"/>
    <n v="59.99"/>
    <s v="Debit Card"/>
    <x v="0"/>
    <x v="2"/>
    <x v="195"/>
    <n v="299.95"/>
  </r>
  <r>
    <s v="TRX0187"/>
    <x v="135"/>
    <x v="20"/>
    <x v="20"/>
    <x v="7"/>
    <x v="7"/>
    <x v="1"/>
    <x v="0"/>
    <n v="79.989999999999995"/>
    <s v="Cash"/>
    <x v="4"/>
    <x v="1"/>
    <x v="179"/>
    <n v="239.97"/>
  </r>
  <r>
    <s v="TRX0089"/>
    <x v="136"/>
    <x v="2"/>
    <x v="2"/>
    <x v="9"/>
    <x v="9"/>
    <x v="2"/>
    <x v="0"/>
    <n v="199.99"/>
    <s v="Cash"/>
    <x v="0"/>
    <x v="0"/>
    <x v="196"/>
    <n v="599.97"/>
  </r>
  <r>
    <s v="TRX0196"/>
    <x v="136"/>
    <x v="0"/>
    <x v="0"/>
    <x v="8"/>
    <x v="8"/>
    <x v="0"/>
    <x v="2"/>
    <n v="89.99"/>
    <s v="PayPal"/>
    <x v="0"/>
    <x v="0"/>
    <x v="197"/>
    <n v="179.98"/>
  </r>
  <r>
    <s v="TRX0118"/>
    <x v="137"/>
    <x v="45"/>
    <x v="45"/>
    <x v="2"/>
    <x v="2"/>
    <x v="2"/>
    <x v="2"/>
    <n v="149.99"/>
    <s v="Cash"/>
    <x v="1"/>
    <x v="1"/>
    <x v="198"/>
    <n v="299.98"/>
  </r>
  <r>
    <s v="TRX0179"/>
    <x v="138"/>
    <x v="23"/>
    <x v="23"/>
    <x v="5"/>
    <x v="5"/>
    <x v="0"/>
    <x v="1"/>
    <n v="699.99"/>
    <s v="PayPal"/>
    <x v="1"/>
    <x v="1"/>
    <x v="54"/>
    <n v="3499.95"/>
  </r>
  <r>
    <s v="TRX0168"/>
    <x v="138"/>
    <x v="4"/>
    <x v="4"/>
    <x v="2"/>
    <x v="2"/>
    <x v="2"/>
    <x v="0"/>
    <n v="149.99"/>
    <s v="PayPal"/>
    <x v="0"/>
    <x v="2"/>
    <x v="174"/>
    <n v="449.97"/>
  </r>
  <r>
    <s v="TRX0214"/>
    <x v="139"/>
    <x v="17"/>
    <x v="17"/>
    <x v="4"/>
    <x v="4"/>
    <x v="0"/>
    <x v="0"/>
    <n v="899.99"/>
    <s v="Cash"/>
    <x v="4"/>
    <x v="2"/>
    <x v="199"/>
    <n v="2699.97"/>
  </r>
  <r>
    <s v="TRX0221"/>
    <x v="139"/>
    <x v="37"/>
    <x v="37"/>
    <x v="9"/>
    <x v="9"/>
    <x v="2"/>
    <x v="0"/>
    <n v="199.99"/>
    <s v="Cash"/>
    <x v="3"/>
    <x v="1"/>
    <x v="31"/>
    <n v="599.97"/>
  </r>
  <r>
    <s v="TRX0083"/>
    <x v="140"/>
    <x v="6"/>
    <x v="6"/>
    <x v="6"/>
    <x v="6"/>
    <x v="2"/>
    <x v="1"/>
    <n v="299.99"/>
    <s v="Cash"/>
    <x v="3"/>
    <x v="2"/>
    <x v="200"/>
    <n v="1499.95"/>
  </r>
  <r>
    <s v="TRX0151"/>
    <x v="140"/>
    <x v="30"/>
    <x v="30"/>
    <x v="5"/>
    <x v="5"/>
    <x v="0"/>
    <x v="3"/>
    <n v="699.99"/>
    <s v="PayPal"/>
    <x v="3"/>
    <x v="0"/>
    <x v="201"/>
    <n v="699.99"/>
  </r>
  <r>
    <s v="TRX0047"/>
    <x v="141"/>
    <x v="43"/>
    <x v="43"/>
    <x v="5"/>
    <x v="5"/>
    <x v="0"/>
    <x v="3"/>
    <n v="699.99"/>
    <s v="Cash"/>
    <x v="2"/>
    <x v="1"/>
    <x v="145"/>
    <n v="699.99"/>
  </r>
  <r>
    <s v="TRX0200"/>
    <x v="141"/>
    <x v="48"/>
    <x v="48"/>
    <x v="2"/>
    <x v="2"/>
    <x v="2"/>
    <x v="4"/>
    <n v="149.99"/>
    <s v="PayPal"/>
    <x v="2"/>
    <x v="1"/>
    <x v="30"/>
    <n v="599.96"/>
  </r>
  <r>
    <s v="TRX0062"/>
    <x v="141"/>
    <x v="39"/>
    <x v="39"/>
    <x v="8"/>
    <x v="8"/>
    <x v="0"/>
    <x v="1"/>
    <n v="89.99"/>
    <s v="PayPal"/>
    <x v="3"/>
    <x v="1"/>
    <x v="202"/>
    <n v="449.95"/>
  </r>
  <r>
    <s v="TRX0182"/>
    <x v="142"/>
    <x v="26"/>
    <x v="26"/>
    <x v="9"/>
    <x v="9"/>
    <x v="2"/>
    <x v="2"/>
    <n v="199.99"/>
    <s v="Cash"/>
    <x v="0"/>
    <x v="1"/>
    <x v="203"/>
    <n v="399.98"/>
  </r>
  <r>
    <s v="TRX0229"/>
    <x v="143"/>
    <x v="45"/>
    <x v="45"/>
    <x v="1"/>
    <x v="1"/>
    <x v="1"/>
    <x v="4"/>
    <n v="59.99"/>
    <s v="Cash"/>
    <x v="3"/>
    <x v="2"/>
    <x v="204"/>
    <n v="239.96"/>
  </r>
  <r>
    <s v="TRX0048"/>
    <x v="143"/>
    <x v="16"/>
    <x v="16"/>
    <x v="6"/>
    <x v="6"/>
    <x v="2"/>
    <x v="2"/>
    <n v="299.99"/>
    <s v="PayPal"/>
    <x v="1"/>
    <x v="0"/>
    <x v="205"/>
    <n v="599.98"/>
  </r>
  <r>
    <s v="TRX0227"/>
    <x v="144"/>
    <x v="6"/>
    <x v="6"/>
    <x v="2"/>
    <x v="2"/>
    <x v="2"/>
    <x v="2"/>
    <n v="149.99"/>
    <s v="Cash"/>
    <x v="0"/>
    <x v="0"/>
    <x v="32"/>
    <n v="299.98"/>
  </r>
  <r>
    <s v="TRX0226"/>
    <x v="145"/>
    <x v="40"/>
    <x v="40"/>
    <x v="5"/>
    <x v="5"/>
    <x v="0"/>
    <x v="1"/>
    <n v="699.99"/>
    <s v="Debit Card"/>
    <x v="4"/>
    <x v="1"/>
    <x v="65"/>
    <n v="3499.95"/>
  </r>
  <r>
    <s v="TRX0053"/>
    <x v="146"/>
    <x v="11"/>
    <x v="11"/>
    <x v="1"/>
    <x v="1"/>
    <x v="1"/>
    <x v="1"/>
    <n v="59.99"/>
    <s v="Cash"/>
    <x v="3"/>
    <x v="1"/>
    <x v="206"/>
    <n v="299.95"/>
  </r>
  <r>
    <s v="TRX0233"/>
    <x v="147"/>
    <x v="0"/>
    <x v="0"/>
    <x v="8"/>
    <x v="8"/>
    <x v="0"/>
    <x v="2"/>
    <n v="89.99"/>
    <s v="Credit Card"/>
    <x v="3"/>
    <x v="1"/>
    <x v="4"/>
    <n v="179.98"/>
  </r>
  <r>
    <s v="TRX0175"/>
    <x v="147"/>
    <x v="22"/>
    <x v="22"/>
    <x v="0"/>
    <x v="0"/>
    <x v="0"/>
    <x v="1"/>
    <n v="249.99"/>
    <s v="Cash"/>
    <x v="4"/>
    <x v="2"/>
    <x v="207"/>
    <n v="1249.95"/>
  </r>
  <r>
    <s v="TRX0186"/>
    <x v="148"/>
    <x v="40"/>
    <x v="40"/>
    <x v="2"/>
    <x v="2"/>
    <x v="2"/>
    <x v="2"/>
    <n v="149.99"/>
    <s v="PayPal"/>
    <x v="0"/>
    <x v="1"/>
    <x v="208"/>
    <n v="299.98"/>
  </r>
  <r>
    <s v="TRX0016"/>
    <x v="148"/>
    <x v="28"/>
    <x v="28"/>
    <x v="4"/>
    <x v="4"/>
    <x v="0"/>
    <x v="1"/>
    <n v="899.99"/>
    <s v="PayPal"/>
    <x v="4"/>
    <x v="1"/>
    <x v="64"/>
    <n v="4499.95"/>
  </r>
  <r>
    <s v="TRX0199"/>
    <x v="148"/>
    <x v="6"/>
    <x v="6"/>
    <x v="2"/>
    <x v="2"/>
    <x v="2"/>
    <x v="4"/>
    <n v="149.99"/>
    <s v="Cash"/>
    <x v="0"/>
    <x v="2"/>
    <x v="209"/>
    <n v="599.96"/>
  </r>
  <r>
    <s v="TRX0038"/>
    <x v="149"/>
    <x v="28"/>
    <x v="28"/>
    <x v="0"/>
    <x v="0"/>
    <x v="0"/>
    <x v="3"/>
    <n v="249.99"/>
    <s v="Cash"/>
    <x v="2"/>
    <x v="2"/>
    <x v="210"/>
    <n v="249.99"/>
  </r>
  <r>
    <s v="TRX0014"/>
    <x v="150"/>
    <x v="37"/>
    <x v="37"/>
    <x v="1"/>
    <x v="1"/>
    <x v="1"/>
    <x v="2"/>
    <n v="59.99"/>
    <s v="Credit Card"/>
    <x v="3"/>
    <x v="0"/>
    <x v="211"/>
    <n v="119.98"/>
  </r>
  <r>
    <s v="TRX0003"/>
    <x v="151"/>
    <x v="25"/>
    <x v="25"/>
    <x v="2"/>
    <x v="2"/>
    <x v="2"/>
    <x v="2"/>
    <n v="149.99"/>
    <s v="Cash"/>
    <x v="3"/>
    <x v="1"/>
    <x v="212"/>
    <n v="299.98"/>
  </r>
  <r>
    <s v="TRX0124"/>
    <x v="151"/>
    <x v="30"/>
    <x v="30"/>
    <x v="4"/>
    <x v="4"/>
    <x v="0"/>
    <x v="0"/>
    <n v="899.99"/>
    <s v="Debit Card"/>
    <x v="2"/>
    <x v="1"/>
    <x v="213"/>
    <n v="2699.97"/>
  </r>
  <r>
    <s v="TRX0013"/>
    <x v="151"/>
    <x v="5"/>
    <x v="5"/>
    <x v="4"/>
    <x v="4"/>
    <x v="0"/>
    <x v="0"/>
    <n v="899.99"/>
    <s v="PayPal"/>
    <x v="2"/>
    <x v="0"/>
    <x v="214"/>
    <n v="2699.97"/>
  </r>
  <r>
    <s v="TRX0019"/>
    <x v="152"/>
    <x v="0"/>
    <x v="0"/>
    <x v="6"/>
    <x v="6"/>
    <x v="2"/>
    <x v="0"/>
    <n v="299.99"/>
    <s v="Credit Card"/>
    <x v="3"/>
    <x v="1"/>
    <x v="215"/>
    <n v="899.97"/>
  </r>
  <r>
    <s v="TRX0050"/>
    <x v="153"/>
    <x v="49"/>
    <x v="49"/>
    <x v="2"/>
    <x v="2"/>
    <x v="2"/>
    <x v="4"/>
    <n v="149.99"/>
    <s v="PayPal"/>
    <x v="3"/>
    <x v="2"/>
    <x v="144"/>
    <n v="599.96"/>
  </r>
  <r>
    <s v="TRX0152"/>
    <x v="154"/>
    <x v="19"/>
    <x v="19"/>
    <x v="7"/>
    <x v="7"/>
    <x v="1"/>
    <x v="4"/>
    <n v="79.989999999999995"/>
    <s v="Credit Card"/>
    <x v="0"/>
    <x v="0"/>
    <x v="216"/>
    <n v="319.95999999999998"/>
  </r>
  <r>
    <s v="TRX0213"/>
    <x v="155"/>
    <x v="36"/>
    <x v="36"/>
    <x v="8"/>
    <x v="8"/>
    <x v="0"/>
    <x v="1"/>
    <n v="89.99"/>
    <s v="PayPal"/>
    <x v="1"/>
    <x v="0"/>
    <x v="217"/>
    <n v="449.95"/>
  </r>
  <r>
    <s v="TRX0197"/>
    <x v="156"/>
    <x v="16"/>
    <x v="16"/>
    <x v="2"/>
    <x v="2"/>
    <x v="2"/>
    <x v="0"/>
    <n v="149.99"/>
    <s v="PayPal"/>
    <x v="0"/>
    <x v="2"/>
    <x v="218"/>
    <n v="449.97"/>
  </r>
  <r>
    <s v="TRX0250"/>
    <x v="156"/>
    <x v="8"/>
    <x v="8"/>
    <x v="8"/>
    <x v="8"/>
    <x v="0"/>
    <x v="2"/>
    <n v="89.99"/>
    <s v="Debit Card"/>
    <x v="3"/>
    <x v="1"/>
    <x v="164"/>
    <n v="179.98"/>
  </r>
  <r>
    <s v="TRX0068"/>
    <x v="157"/>
    <x v="19"/>
    <x v="19"/>
    <x v="5"/>
    <x v="5"/>
    <x v="0"/>
    <x v="2"/>
    <n v="699.99"/>
    <s v="PayPal"/>
    <x v="2"/>
    <x v="2"/>
    <x v="111"/>
    <n v="1399.98"/>
  </r>
  <r>
    <s v="TRX0144"/>
    <x v="158"/>
    <x v="23"/>
    <x v="23"/>
    <x v="4"/>
    <x v="4"/>
    <x v="0"/>
    <x v="0"/>
    <n v="899.99"/>
    <s v="Cash"/>
    <x v="0"/>
    <x v="2"/>
    <x v="115"/>
    <n v="2699.97"/>
  </r>
  <r>
    <s v="TRX0039"/>
    <x v="159"/>
    <x v="16"/>
    <x v="16"/>
    <x v="7"/>
    <x v="7"/>
    <x v="1"/>
    <x v="0"/>
    <n v="79.989999999999995"/>
    <s v="Credit Card"/>
    <x v="2"/>
    <x v="0"/>
    <x v="219"/>
    <n v="239.97"/>
  </r>
  <r>
    <s v="TRX0116"/>
    <x v="160"/>
    <x v="7"/>
    <x v="7"/>
    <x v="8"/>
    <x v="8"/>
    <x v="0"/>
    <x v="3"/>
    <n v="89.99"/>
    <s v="Debit Card"/>
    <x v="4"/>
    <x v="0"/>
    <x v="220"/>
    <n v="89.99"/>
  </r>
  <r>
    <s v="TRX0120"/>
    <x v="161"/>
    <x v="46"/>
    <x v="46"/>
    <x v="5"/>
    <x v="5"/>
    <x v="0"/>
    <x v="0"/>
    <n v="699.99"/>
    <s v="PayPal"/>
    <x v="2"/>
    <x v="0"/>
    <x v="67"/>
    <n v="2099.9699999999998"/>
  </r>
  <r>
    <s v="TRX0103"/>
    <x v="161"/>
    <x v="40"/>
    <x v="40"/>
    <x v="8"/>
    <x v="8"/>
    <x v="0"/>
    <x v="2"/>
    <n v="89.99"/>
    <s v="Debit Card"/>
    <x v="4"/>
    <x v="0"/>
    <x v="221"/>
    <n v="179.98"/>
  </r>
  <r>
    <s v="TRX0064"/>
    <x v="161"/>
    <x v="26"/>
    <x v="26"/>
    <x v="8"/>
    <x v="8"/>
    <x v="0"/>
    <x v="0"/>
    <n v="89.99"/>
    <s v="Debit Card"/>
    <x v="2"/>
    <x v="1"/>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F8CD3-E291-4FAA-B1A7-9EE57F523306}" name="PivotTable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6">
  <location ref="A3:B9"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items count="4">
        <item h="1" x="0"/>
        <item x="1"/>
        <item h="1"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BC7A43-36DF-4FEE-BC74-14EF53A0A138}" name="PivotTable2"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0">
  <location ref="A3:B7" firstHeaderRow="1" firstDataRow="1" firstDataCol="1"/>
  <pivotFields count="17">
    <pivotField dataField="1"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items count="51">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t="default"/>
      </items>
    </pivotField>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items count="11">
        <item x="4"/>
        <item x="5"/>
        <item x="3"/>
        <item x="7"/>
        <item x="1"/>
        <item x="9"/>
        <item x="6"/>
        <item x="2"/>
        <item x="0"/>
        <item x="8"/>
        <item t="default"/>
      </items>
    </pivotField>
    <pivotField showAll="0"/>
    <pivotField showAll="0">
      <items count="4">
        <item x="1"/>
        <item h="1" x="0"/>
        <item h="1" x="2"/>
        <item t="default"/>
      </items>
    </pivotField>
    <pivotField showAll="0"/>
    <pivotField showAll="0"/>
    <pivotField showAll="0"/>
    <pivotField showAll="0">
      <items count="6">
        <item h="1" x="0"/>
        <item h="1" x="4"/>
        <item x="2"/>
        <item h="1" x="1"/>
        <item h="1" x="3"/>
        <item t="default"/>
      </items>
    </pivotField>
    <pivotField axis="axisRow" showAll="0">
      <items count="4">
        <item x="0"/>
        <item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4">
    <i>
      <x/>
    </i>
    <i>
      <x v="1"/>
    </i>
    <i>
      <x v="2"/>
    </i>
    <i t="grand">
      <x/>
    </i>
  </rowItems>
  <colItems count="1">
    <i/>
  </colItems>
  <dataFields count="1">
    <dataField name="Count of Transaction_ID"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1" count="1" selected="0">
            <x v="0"/>
          </reference>
        </references>
      </pivotArea>
    </chartFormat>
    <chartFormat chart="9" format="10">
      <pivotArea type="data" outline="0" fieldPosition="0">
        <references count="2">
          <reference field="4294967294" count="1" selected="0">
            <x v="0"/>
          </reference>
          <reference field="11" count="1" selected="0">
            <x v="1"/>
          </reference>
        </references>
      </pivotArea>
    </chartFormat>
    <chartFormat chart="9"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42">
  <location ref="A3:B48" firstHeaderRow="1" firstDataRow="1" firstDataCol="1"/>
  <pivotFields count="17">
    <pivotField showAll="0"/>
    <pivotField numFmtId="16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h="1" x="1"/>
        <item x="0"/>
        <item h="1" x="2"/>
        <item t="default"/>
      </items>
    </pivotField>
    <pivotField showAll="0"/>
    <pivotField dataField="1"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45">
    <i>
      <x/>
    </i>
    <i>
      <x v="1"/>
    </i>
    <i>
      <x v="2"/>
    </i>
    <i>
      <x v="3"/>
    </i>
    <i>
      <x v="4"/>
    </i>
    <i>
      <x v="5"/>
    </i>
    <i>
      <x v="6"/>
    </i>
    <i>
      <x v="7"/>
    </i>
    <i>
      <x v="9"/>
    </i>
    <i>
      <x v="10"/>
    </i>
    <i>
      <x v="11"/>
    </i>
    <i>
      <x v="12"/>
    </i>
    <i>
      <x v="13"/>
    </i>
    <i>
      <x v="15"/>
    </i>
    <i>
      <x v="16"/>
    </i>
    <i>
      <x v="17"/>
    </i>
    <i>
      <x v="18"/>
    </i>
    <i>
      <x v="20"/>
    </i>
    <i>
      <x v="22"/>
    </i>
    <i>
      <x v="24"/>
    </i>
    <i>
      <x v="25"/>
    </i>
    <i>
      <x v="26"/>
    </i>
    <i>
      <x v="27"/>
    </i>
    <i>
      <x v="28"/>
    </i>
    <i>
      <x v="29"/>
    </i>
    <i>
      <x v="30"/>
    </i>
    <i>
      <x v="31"/>
    </i>
    <i>
      <x v="32"/>
    </i>
    <i>
      <x v="33"/>
    </i>
    <i>
      <x v="34"/>
    </i>
    <i>
      <x v="35"/>
    </i>
    <i>
      <x v="36"/>
    </i>
    <i>
      <x v="37"/>
    </i>
    <i>
      <x v="38"/>
    </i>
    <i>
      <x v="39"/>
    </i>
    <i>
      <x v="41"/>
    </i>
    <i>
      <x v="42"/>
    </i>
    <i>
      <x v="43"/>
    </i>
    <i>
      <x v="44"/>
    </i>
    <i>
      <x v="45"/>
    </i>
    <i>
      <x v="46"/>
    </i>
    <i>
      <x v="47"/>
    </i>
    <i>
      <x v="48"/>
    </i>
    <i>
      <x v="49"/>
    </i>
    <i t="grand">
      <x/>
    </i>
  </rowItems>
  <colItems count="1">
    <i/>
  </colItems>
  <dataFields count="1">
    <dataField name="Sum of Unit_Price" fld="8" baseField="0" baseItem="0"/>
  </dataFields>
  <chartFormats count="3">
    <chartFormat chart="0"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8" name="PivotTable3"/>
  </pivotTables>
  <data>
    <tabular pivotCacheId="1">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C289E778-B709-4E54-A9A8-709BA413F6DC}" sourceName="Customer_Segment">
  <pivotTables>
    <pivotTable tabId="10" name="PivotTable1"/>
  </pivotTables>
  <data>
    <tabular pivotCacheId="1">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18C6A75-5BC3-4DCF-B6B2-556CA09E93D6}" sourceName="Category">
  <pivotTables>
    <pivotTable tabId="11" name="PivotTable2"/>
  </pivotTables>
  <data>
    <tabular pivotCacheId="1">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BDC73886-559A-4E81-949A-7A6B3F42CD89}" cache="Slicer_Customer_Segment1"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6D2310A3-D986-4735-BD39-CB38F005F311}" cache="Slicer_Category1"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5000000}" cache="Slicer_Category"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0000000-0014-0000-FFFF-FFFF09000000}" cache="Slicer_Category" caption="Category" rowHeight="234950"/>
  <slicer name="Customer_Segment 1" xr10:uid="{BF1FE894-C9FC-44D5-8089-FDA030A382D2}" cache="Slicer_Customer_Segment1" caption="Customer_Segment" rowHeight="234950"/>
  <slicer name="Category 3" xr10:uid="{18B13638-7B50-426B-B738-A59DE1B7751A}" cache="Slicer_Category1"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52" totalsRowCount="1" headerRowDxfId="28" dataDxfId="27">
  <autoFilter ref="A1:N251" xr:uid="{00000000-0009-0000-0100-000001000000}"/>
  <tableColumns count="14">
    <tableColumn id="1" xr3:uid="{00000000-0010-0000-0000-000001000000}" name="Transaction_ID" dataDxfId="26" totalsRowDxfId="25"/>
    <tableColumn id="2" xr3:uid="{00000000-0010-0000-0000-000002000000}" name="Date" dataDxfId="24" totalsRowDxfId="23"/>
    <tableColumn id="3" xr3:uid="{00000000-0010-0000-0000-000003000000}" name="Customer_ID" dataDxfId="22" totalsRowDxfId="21"/>
    <tableColumn id="4" xr3:uid="{00000000-0010-0000-0000-000004000000}" name="Customer_Name" dataDxfId="20"/>
    <tableColumn id="5" xr3:uid="{00000000-0010-0000-0000-000005000000}" name="Product_ID" dataDxfId="19" totalsRowDxfId="18"/>
    <tableColumn id="6" xr3:uid="{00000000-0010-0000-0000-000006000000}" name="Product_Name" dataDxfId="17" totalsRowDxfId="16"/>
    <tableColumn id="7" xr3:uid="{00000000-0010-0000-0000-000007000000}" name="Category" dataDxfId="15" totalsRowDxfId="14"/>
    <tableColumn id="8" xr3:uid="{00000000-0010-0000-0000-000008000000}" name="Quantity" dataDxfId="13" totalsRowDxfId="12"/>
    <tableColumn id="9" xr3:uid="{00000000-0010-0000-0000-000009000000}" name="Unit_Price" dataDxfId="11" totalsRowDxfId="10"/>
    <tableColumn id="10" xr3:uid="{00000000-0010-0000-0000-00000A000000}" name="Payment_Method" dataDxfId="9" totalsRowDxfId="8"/>
    <tableColumn id="11" xr3:uid="{00000000-0010-0000-0000-00000B000000}" name="Region" dataDxfId="7" totalsRowDxfId="6"/>
    <tableColumn id="12" xr3:uid="{00000000-0010-0000-0000-00000C000000}" name="Customer_Segment" dataDxfId="5" totalsRowDxfId="4"/>
    <tableColumn id="13" xr3:uid="{00000000-0010-0000-0000-00000D000000}" name="Customer_Since" dataDxfId="3" totalsRowDxfId="2"/>
    <tableColumn id="14" xr3:uid="{00000000-0010-0000-0000-00000E000000}" name="Total_Amount" dataDxfId="1" totalsRowDxfId="0"/>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ustomer_Since1" xr10:uid="{00000000-0013-0000-FFFF-FFFF06000000}" sourceName="Customer_Since">
  <pivotTables>
    <pivotTable tabId="8" name="PivotTable3"/>
  </pivotTables>
  <state minimalRefreshVersion="6" lastRefreshVersion="6" pivotCacheId="1" filterType="unknown">
    <bounds startDate="2021-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56D9EA7D-FE0C-41F7-BEFF-5D38D9BE6922}" sourceName="Date">
  <pivotTables>
    <pivotTable tabId="10" name="PivotTable1"/>
  </pivotTables>
  <state minimalRefreshVersion="6" lastRefreshVersion="6" pivotCacheId="1" filterType="unknown">
    <bounds startDate="2024-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0B88116C-F658-457C-91C7-19F6EA33E996}" sourceName="Date">
  <pivotTables>
    <pivotTable tabId="11" name="PivotTable2"/>
  </pivotTables>
  <state minimalRefreshVersion="6" lastRefreshVersion="6" pivotCacheId="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A9E44BD-4F86-4766-A0FE-D08F047AAE14}" cache="NativeTimeline_Date1" caption="Date" level="2" selectionLevel="2"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370FA95-FB3F-4787-8244-379BD98CBFEE}" cache="NativeTimeline_Date2" caption="Date" level="2" selectionLevel="2" scrollPosition="2025-06-06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2" xr10:uid="{00000000-0014-0000-FFFF-FFFF06000000}" cache="NativeTimeline_Customer_Since1" caption="Customer_Since" level="2" selectionLevel="2" scrollPosition="2024-06-06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3" xr10:uid="{00000000-0014-0000-FFFF-FFFF0C000000}" cache="NativeTimeline_Customer_Since1" caption="Customer_Since" level="2" selectionLevel="2" scrollPosition="2024-06-06T00:00:00"/>
  <timeline name="Date 3" xr10:uid="{1A25379B-331C-4DD7-A5D0-D3B3BD77A945}" cache="NativeTimeline_Date1" caption="Date" level="2" selectionLevel="2" scrollPosition="2025-06-06T00:00:00"/>
  <timeline name="Date 4" xr10:uid="{2165C126-AC42-4F71-B408-34CBC6FFD1D6}" cache="NativeTimeline_Date2" caption="Date" level="2" selectionLevel="2" scrollPosition="2025-06-06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B1:G13"/>
  <sheetViews>
    <sheetView showGridLines="0" workbookViewId="0">
      <selection activeCell="D21" sqref="D21"/>
    </sheetView>
  </sheetViews>
  <sheetFormatPr defaultRowHeight="14.4" outlineLevelRow="1" outlineLevelCol="1" x14ac:dyDescent="0.3"/>
  <cols>
    <col min="3" max="3" width="5.33203125" customWidth="1"/>
    <col min="4" max="7" width="13.109375" bestFit="1" customWidth="1" outlineLevel="1"/>
  </cols>
  <sheetData>
    <row r="1" spans="2:7" ht="15" thickBot="1" x14ac:dyDescent="0.35"/>
    <row r="2" spans="2:7" ht="15.6" x14ac:dyDescent="0.3">
      <c r="B2" s="8" t="s">
        <v>418</v>
      </c>
      <c r="C2" s="8"/>
      <c r="D2" s="13"/>
      <c r="E2" s="13"/>
      <c r="F2" s="13"/>
      <c r="G2" s="13"/>
    </row>
    <row r="3" spans="2:7" ht="15.6" collapsed="1" x14ac:dyDescent="0.3">
      <c r="B3" s="7"/>
      <c r="C3" s="7"/>
      <c r="D3" s="14" t="s">
        <v>420</v>
      </c>
      <c r="E3" s="14" t="s">
        <v>414</v>
      </c>
      <c r="F3" s="14" t="s">
        <v>416</v>
      </c>
      <c r="G3" s="14" t="s">
        <v>417</v>
      </c>
    </row>
    <row r="4" spans="2:7" ht="20.399999999999999" hidden="1" outlineLevel="1" x14ac:dyDescent="0.3">
      <c r="B4" s="10"/>
      <c r="C4" s="10"/>
      <c r="E4" s="16" t="s">
        <v>415</v>
      </c>
      <c r="F4" s="16" t="s">
        <v>415</v>
      </c>
      <c r="G4" s="16" t="s">
        <v>415</v>
      </c>
    </row>
    <row r="5" spans="2:7" x14ac:dyDescent="0.3">
      <c r="B5" s="11" t="s">
        <v>419</v>
      </c>
      <c r="C5" s="11"/>
      <c r="D5" s="9"/>
      <c r="E5" s="9"/>
      <c r="F5" s="9"/>
      <c r="G5" s="9"/>
    </row>
    <row r="6" spans="2:7" outlineLevel="1" x14ac:dyDescent="0.3">
      <c r="B6" s="10"/>
      <c r="C6" s="10" t="s">
        <v>410</v>
      </c>
      <c r="D6" s="17" t="s">
        <v>408</v>
      </c>
      <c r="E6" s="15" t="s">
        <v>408</v>
      </c>
      <c r="F6" s="15" t="s">
        <v>408</v>
      </c>
      <c r="G6" s="15" t="s">
        <v>408</v>
      </c>
    </row>
    <row r="7" spans="2:7" outlineLevel="1" x14ac:dyDescent="0.3">
      <c r="B7" s="10"/>
      <c r="C7" s="10" t="s">
        <v>411</v>
      </c>
      <c r="D7" s="17" t="s">
        <v>409</v>
      </c>
      <c r="E7" s="15" t="s">
        <v>409</v>
      </c>
      <c r="F7" s="15" t="s">
        <v>409</v>
      </c>
      <c r="G7" s="15" t="s">
        <v>409</v>
      </c>
    </row>
    <row r="8" spans="2:7" x14ac:dyDescent="0.3">
      <c r="B8" s="11" t="s">
        <v>421</v>
      </c>
      <c r="C8" s="11"/>
      <c r="D8" s="9"/>
      <c r="E8" s="9"/>
      <c r="F8" s="9"/>
      <c r="G8" s="9"/>
    </row>
    <row r="9" spans="2:7" outlineLevel="1" x14ac:dyDescent="0.3">
      <c r="B9" s="10"/>
      <c r="C9" s="10" t="s">
        <v>412</v>
      </c>
      <c r="D9" s="17" t="s">
        <v>408</v>
      </c>
      <c r="E9" s="17" t="s">
        <v>408</v>
      </c>
      <c r="F9" s="17" t="s">
        <v>408</v>
      </c>
      <c r="G9" s="17" t="s">
        <v>408</v>
      </c>
    </row>
    <row r="10" spans="2:7" ht="15" outlineLevel="1" thickBot="1" x14ac:dyDescent="0.35">
      <c r="B10" s="12"/>
      <c r="C10" s="12" t="s">
        <v>413</v>
      </c>
      <c r="D10" s="18" t="s">
        <v>409</v>
      </c>
      <c r="E10" s="18" t="s">
        <v>409</v>
      </c>
      <c r="F10" s="18" t="s">
        <v>409</v>
      </c>
      <c r="G10" s="18" t="s">
        <v>409</v>
      </c>
    </row>
    <row r="11" spans="2:7" x14ac:dyDescent="0.3">
      <c r="B11" t="s">
        <v>422</v>
      </c>
    </row>
    <row r="12" spans="2:7" x14ac:dyDescent="0.3">
      <c r="B12" t="s">
        <v>423</v>
      </c>
    </row>
    <row r="13" spans="2:7" x14ac:dyDescent="0.3">
      <c r="B13" t="s">
        <v>424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6061-ACC3-4959-9601-3BE40FD3F4E0}">
  <dimension ref="A3:B9"/>
  <sheetViews>
    <sheetView workbookViewId="0">
      <selection activeCell="B7" sqref="B7"/>
    </sheetView>
  </sheetViews>
  <sheetFormatPr defaultRowHeight="14.4" x14ac:dyDescent="0.3"/>
  <cols>
    <col min="1" max="1" width="12.5546875" bestFit="1" customWidth="1"/>
    <col min="2" max="2" width="19.77734375" bestFit="1" customWidth="1"/>
  </cols>
  <sheetData>
    <row r="3" spans="1:2" x14ac:dyDescent="0.3">
      <c r="A3" s="20" t="s">
        <v>427</v>
      </c>
      <c r="B3" t="s">
        <v>429</v>
      </c>
    </row>
    <row r="4" spans="1:2" x14ac:dyDescent="0.3">
      <c r="A4" s="21" t="s">
        <v>23</v>
      </c>
      <c r="B4">
        <v>15479.349999999999</v>
      </c>
    </row>
    <row r="5" spans="1:2" x14ac:dyDescent="0.3">
      <c r="A5" s="21" t="s">
        <v>65</v>
      </c>
      <c r="B5">
        <v>26009.429999999997</v>
      </c>
    </row>
    <row r="6" spans="1:2" x14ac:dyDescent="0.3">
      <c r="A6" s="21" t="s">
        <v>42</v>
      </c>
      <c r="B6">
        <v>26569.110000000004</v>
      </c>
    </row>
    <row r="7" spans="1:2" x14ac:dyDescent="0.3">
      <c r="A7" s="21" t="s">
        <v>37</v>
      </c>
      <c r="B7">
        <v>6499.739999999998</v>
      </c>
    </row>
    <row r="8" spans="1:2" x14ac:dyDescent="0.3">
      <c r="A8" s="21" t="s">
        <v>52</v>
      </c>
      <c r="B8">
        <v>10099.49</v>
      </c>
    </row>
    <row r="9" spans="1:2" x14ac:dyDescent="0.3">
      <c r="A9" s="21" t="s">
        <v>428</v>
      </c>
      <c r="B9">
        <v>84657.12000000001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4B12-7AB7-403D-816C-AE8E1F1180FF}">
  <dimension ref="A3:B7"/>
  <sheetViews>
    <sheetView workbookViewId="0">
      <selection activeCell="B6" sqref="B6"/>
    </sheetView>
  </sheetViews>
  <sheetFormatPr defaultRowHeight="14.4" x14ac:dyDescent="0.3"/>
  <cols>
    <col min="1" max="1" width="12.5546875" bestFit="1" customWidth="1"/>
    <col min="2" max="2" width="21.6640625" bestFit="1" customWidth="1"/>
  </cols>
  <sheetData>
    <row r="3" spans="1:2" x14ac:dyDescent="0.3">
      <c r="A3" s="20" t="s">
        <v>427</v>
      </c>
      <c r="B3" t="s">
        <v>431</v>
      </c>
    </row>
    <row r="4" spans="1:2" x14ac:dyDescent="0.3">
      <c r="A4" s="21" t="s">
        <v>24</v>
      </c>
      <c r="B4">
        <v>14</v>
      </c>
    </row>
    <row r="5" spans="1:2" x14ac:dyDescent="0.3">
      <c r="A5" s="21" t="s">
        <v>29</v>
      </c>
      <c r="B5">
        <v>11</v>
      </c>
    </row>
    <row r="6" spans="1:2" x14ac:dyDescent="0.3">
      <c r="A6" s="21" t="s">
        <v>38</v>
      </c>
      <c r="B6">
        <v>18</v>
      </c>
    </row>
    <row r="7" spans="1:2" x14ac:dyDescent="0.3">
      <c r="A7" s="21" t="s">
        <v>428</v>
      </c>
      <c r="B7">
        <v>43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48"/>
  <sheetViews>
    <sheetView workbookViewId="0">
      <selection activeCell="B13" sqref="B13"/>
    </sheetView>
  </sheetViews>
  <sheetFormatPr defaultRowHeight="14.4" x14ac:dyDescent="0.3"/>
  <cols>
    <col min="1" max="1" width="15.109375" bestFit="1" customWidth="1"/>
    <col min="2" max="2" width="16.21875" bestFit="1" customWidth="1"/>
  </cols>
  <sheetData>
    <row r="3" spans="1:2" x14ac:dyDescent="0.3">
      <c r="A3" s="20" t="s">
        <v>427</v>
      </c>
      <c r="B3" t="s">
        <v>430</v>
      </c>
    </row>
    <row r="4" spans="1:2" x14ac:dyDescent="0.3">
      <c r="A4" s="21" t="s">
        <v>328</v>
      </c>
      <c r="B4">
        <v>899.99</v>
      </c>
    </row>
    <row r="5" spans="1:2" x14ac:dyDescent="0.3">
      <c r="A5" s="21" t="s">
        <v>99</v>
      </c>
      <c r="B5">
        <v>2639.95</v>
      </c>
    </row>
    <row r="6" spans="1:2" x14ac:dyDescent="0.3">
      <c r="A6" s="21" t="s">
        <v>161</v>
      </c>
      <c r="B6">
        <v>1039.97</v>
      </c>
    </row>
    <row r="7" spans="1:2" x14ac:dyDescent="0.3">
      <c r="A7" s="21" t="s">
        <v>234</v>
      </c>
      <c r="B7">
        <v>399.98</v>
      </c>
    </row>
    <row r="8" spans="1:2" x14ac:dyDescent="0.3">
      <c r="A8" s="21" t="s">
        <v>58</v>
      </c>
      <c r="B8">
        <v>429.97</v>
      </c>
    </row>
    <row r="9" spans="1:2" x14ac:dyDescent="0.3">
      <c r="A9" s="21" t="s">
        <v>105</v>
      </c>
      <c r="B9">
        <v>949.98</v>
      </c>
    </row>
    <row r="10" spans="1:2" x14ac:dyDescent="0.3">
      <c r="A10" s="21" t="s">
        <v>150</v>
      </c>
      <c r="B10">
        <v>1079.97</v>
      </c>
    </row>
    <row r="11" spans="1:2" x14ac:dyDescent="0.3">
      <c r="A11" s="21" t="s">
        <v>185</v>
      </c>
      <c r="B11">
        <v>239.98000000000002</v>
      </c>
    </row>
    <row r="12" spans="1:2" x14ac:dyDescent="0.3">
      <c r="A12" s="21" t="s">
        <v>51</v>
      </c>
      <c r="B12">
        <v>1999.96</v>
      </c>
    </row>
    <row r="13" spans="1:2" x14ac:dyDescent="0.3">
      <c r="A13" s="21" t="s">
        <v>296</v>
      </c>
      <c r="B13">
        <v>1649.97</v>
      </c>
    </row>
    <row r="14" spans="1:2" x14ac:dyDescent="0.3">
      <c r="A14" s="21" t="s">
        <v>126</v>
      </c>
      <c r="B14">
        <v>2589.96</v>
      </c>
    </row>
    <row r="15" spans="1:2" x14ac:dyDescent="0.3">
      <c r="A15" s="21" t="s">
        <v>214</v>
      </c>
      <c r="B15">
        <v>789.98</v>
      </c>
    </row>
    <row r="16" spans="1:2" x14ac:dyDescent="0.3">
      <c r="A16" s="21" t="s">
        <v>135</v>
      </c>
      <c r="B16">
        <v>89.99</v>
      </c>
    </row>
    <row r="17" spans="1:2" x14ac:dyDescent="0.3">
      <c r="A17" s="21" t="s">
        <v>86</v>
      </c>
      <c r="B17">
        <v>1799.98</v>
      </c>
    </row>
    <row r="18" spans="1:2" x14ac:dyDescent="0.3">
      <c r="A18" s="21" t="s">
        <v>199</v>
      </c>
      <c r="B18">
        <v>1849.97</v>
      </c>
    </row>
    <row r="19" spans="1:2" x14ac:dyDescent="0.3">
      <c r="A19" s="21" t="s">
        <v>147</v>
      </c>
      <c r="B19">
        <v>1489.96</v>
      </c>
    </row>
    <row r="20" spans="1:2" x14ac:dyDescent="0.3">
      <c r="A20" s="21" t="s">
        <v>123</v>
      </c>
      <c r="B20">
        <v>1299.97</v>
      </c>
    </row>
    <row r="21" spans="1:2" x14ac:dyDescent="0.3">
      <c r="A21" s="21" t="s">
        <v>144</v>
      </c>
      <c r="B21">
        <v>699.99</v>
      </c>
    </row>
    <row r="22" spans="1:2" x14ac:dyDescent="0.3">
      <c r="A22" s="21" t="s">
        <v>27</v>
      </c>
      <c r="B22">
        <v>1699.95</v>
      </c>
    </row>
    <row r="23" spans="1:2" x14ac:dyDescent="0.3">
      <c r="A23" s="21" t="s">
        <v>68</v>
      </c>
      <c r="B23">
        <v>1989.95</v>
      </c>
    </row>
    <row r="24" spans="1:2" x14ac:dyDescent="0.3">
      <c r="A24" s="21" t="s">
        <v>41</v>
      </c>
      <c r="B24">
        <v>939.97</v>
      </c>
    </row>
    <row r="25" spans="1:2" x14ac:dyDescent="0.3">
      <c r="A25" s="21" t="s">
        <v>32</v>
      </c>
      <c r="B25">
        <v>899.99</v>
      </c>
    </row>
    <row r="26" spans="1:2" x14ac:dyDescent="0.3">
      <c r="A26" s="21" t="s">
        <v>229</v>
      </c>
      <c r="B26">
        <v>1729.95</v>
      </c>
    </row>
    <row r="27" spans="1:2" x14ac:dyDescent="0.3">
      <c r="A27" s="21" t="s">
        <v>115</v>
      </c>
      <c r="B27">
        <v>149.99</v>
      </c>
    </row>
    <row r="28" spans="1:2" x14ac:dyDescent="0.3">
      <c r="A28" s="21" t="s">
        <v>132</v>
      </c>
      <c r="B28">
        <v>239.98000000000002</v>
      </c>
    </row>
    <row r="29" spans="1:2" x14ac:dyDescent="0.3">
      <c r="A29" s="21" t="s">
        <v>188</v>
      </c>
      <c r="B29">
        <v>589.97</v>
      </c>
    </row>
    <row r="30" spans="1:2" x14ac:dyDescent="0.3">
      <c r="A30" s="21" t="s">
        <v>92</v>
      </c>
      <c r="B30">
        <v>789.98</v>
      </c>
    </row>
    <row r="31" spans="1:2" x14ac:dyDescent="0.3">
      <c r="A31" s="21" t="s">
        <v>89</v>
      </c>
      <c r="B31">
        <v>4079.9299999999994</v>
      </c>
    </row>
    <row r="32" spans="1:2" x14ac:dyDescent="0.3">
      <c r="A32" s="21" t="s">
        <v>45</v>
      </c>
      <c r="B32">
        <v>789.98</v>
      </c>
    </row>
    <row r="33" spans="1:2" x14ac:dyDescent="0.3">
      <c r="A33" s="21" t="s">
        <v>81</v>
      </c>
      <c r="B33">
        <v>1399.98</v>
      </c>
    </row>
    <row r="34" spans="1:2" x14ac:dyDescent="0.3">
      <c r="A34" s="21" t="s">
        <v>111</v>
      </c>
      <c r="B34">
        <v>649.97</v>
      </c>
    </row>
    <row r="35" spans="1:2" x14ac:dyDescent="0.3">
      <c r="A35" s="21" t="s">
        <v>102</v>
      </c>
      <c r="B35">
        <v>2119.94</v>
      </c>
    </row>
    <row r="36" spans="1:2" x14ac:dyDescent="0.3">
      <c r="A36" s="21" t="s">
        <v>18</v>
      </c>
      <c r="B36">
        <v>1829.94</v>
      </c>
    </row>
    <row r="37" spans="1:2" x14ac:dyDescent="0.3">
      <c r="A37" s="21" t="s">
        <v>75</v>
      </c>
      <c r="B37">
        <v>1749.97</v>
      </c>
    </row>
    <row r="38" spans="1:2" x14ac:dyDescent="0.3">
      <c r="A38" s="21" t="s">
        <v>174</v>
      </c>
      <c r="B38">
        <v>879.97</v>
      </c>
    </row>
    <row r="39" spans="1:2" x14ac:dyDescent="0.3">
      <c r="A39" s="21" t="s">
        <v>62</v>
      </c>
      <c r="B39">
        <v>1169.96</v>
      </c>
    </row>
    <row r="40" spans="1:2" x14ac:dyDescent="0.3">
      <c r="A40" s="21" t="s">
        <v>249</v>
      </c>
      <c r="B40">
        <v>849.98</v>
      </c>
    </row>
    <row r="41" spans="1:2" x14ac:dyDescent="0.3">
      <c r="A41" s="21" t="s">
        <v>237</v>
      </c>
      <c r="B41">
        <v>1749.97</v>
      </c>
    </row>
    <row r="42" spans="1:2" x14ac:dyDescent="0.3">
      <c r="A42" s="21" t="s">
        <v>157</v>
      </c>
      <c r="B42">
        <v>1489.97</v>
      </c>
    </row>
    <row r="43" spans="1:2" x14ac:dyDescent="0.3">
      <c r="A43" s="21" t="s">
        <v>153</v>
      </c>
      <c r="B43">
        <v>3399.96</v>
      </c>
    </row>
    <row r="44" spans="1:2" x14ac:dyDescent="0.3">
      <c r="A44" s="21" t="s">
        <v>141</v>
      </c>
      <c r="B44">
        <v>239.98000000000002</v>
      </c>
    </row>
    <row r="45" spans="1:2" x14ac:dyDescent="0.3">
      <c r="A45" s="21" t="s">
        <v>71</v>
      </c>
      <c r="B45">
        <v>89.99</v>
      </c>
    </row>
    <row r="46" spans="1:2" x14ac:dyDescent="0.3">
      <c r="A46" s="21" t="s">
        <v>96</v>
      </c>
      <c r="B46">
        <v>499.98</v>
      </c>
    </row>
    <row r="47" spans="1:2" x14ac:dyDescent="0.3">
      <c r="A47" s="21" t="s">
        <v>255</v>
      </c>
      <c r="B47">
        <v>1299.97</v>
      </c>
    </row>
    <row r="48" spans="1:2" x14ac:dyDescent="0.3">
      <c r="A48" s="21" t="s">
        <v>428</v>
      </c>
      <c r="B48">
        <v>55258.690000000031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Normal="100" workbookViewId="0">
      <selection activeCell="O3" sqref="O3"/>
    </sheetView>
  </sheetViews>
  <sheetFormatPr defaultColWidth="14.44140625" defaultRowHeight="15" customHeight="1" x14ac:dyDescent="0.3"/>
  <cols>
    <col min="1" max="1" width="15.44140625" customWidth="1"/>
    <col min="2" max="2" width="10.88671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 min="15" max="15" width="18.6640625" customWidth="1"/>
    <col min="16" max="16" width="12.44140625" customWidth="1"/>
    <col min="17" max="17" width="8.6640625" customWidth="1"/>
    <col min="18" max="18" width="15.6640625" customWidth="1"/>
    <col min="19" max="19" width="10.88671875" customWidth="1"/>
    <col min="20" max="20" width="20.33203125" customWidth="1"/>
    <col min="21" max="21" width="16.77734375" customWidth="1"/>
    <col min="22" max="22" width="11.33203125" customWidth="1"/>
    <col min="23" max="23" width="18.21875" customWidth="1"/>
    <col min="24" max="24" width="17.6640625" customWidth="1"/>
    <col min="25" max="26" width="8.6640625" customWidth="1"/>
  </cols>
  <sheetData>
    <row r="1" spans="1:26" ht="14.4" x14ac:dyDescent="0.3">
      <c r="A1" s="4" t="s">
        <v>2</v>
      </c>
      <c r="B1" s="4" t="s">
        <v>3</v>
      </c>
      <c r="C1" s="4" t="s">
        <v>4</v>
      </c>
      <c r="D1" s="4" t="s">
        <v>5</v>
      </c>
      <c r="E1" s="4" t="s">
        <v>6</v>
      </c>
      <c r="F1" s="4" t="s">
        <v>7</v>
      </c>
      <c r="G1" s="4" t="s">
        <v>8</v>
      </c>
      <c r="H1" s="4" t="s">
        <v>9</v>
      </c>
      <c r="I1" s="4" t="s">
        <v>10</v>
      </c>
      <c r="J1" s="4" t="s">
        <v>11</v>
      </c>
      <c r="K1" s="4" t="s">
        <v>12</v>
      </c>
      <c r="L1" s="4" t="s">
        <v>13</v>
      </c>
      <c r="M1" s="4" t="s">
        <v>14</v>
      </c>
      <c r="N1" s="4" t="s">
        <v>15</v>
      </c>
      <c r="O1" s="25" t="s">
        <v>403</v>
      </c>
      <c r="P1" s="26" t="s">
        <v>425</v>
      </c>
      <c r="Q1" s="27" t="s">
        <v>401</v>
      </c>
      <c r="R1" s="29" t="s">
        <v>402</v>
      </c>
      <c r="S1" s="24" t="s">
        <v>426</v>
      </c>
      <c r="T1" s="33" t="s">
        <v>404</v>
      </c>
      <c r="U1" s="35" t="s">
        <v>405</v>
      </c>
      <c r="V1" s="38" t="s">
        <v>406</v>
      </c>
      <c r="W1" s="38" t="s">
        <v>407</v>
      </c>
      <c r="X1" s="4"/>
      <c r="Y1" s="4"/>
      <c r="Z1" s="4"/>
    </row>
    <row r="2" spans="1:26" ht="14.4" x14ac:dyDescent="0.3">
      <c r="A2" s="5" t="s">
        <v>16</v>
      </c>
      <c r="B2" s="19">
        <v>45393</v>
      </c>
      <c r="C2" s="5" t="s">
        <v>17</v>
      </c>
      <c r="D2" s="5" t="s">
        <v>18</v>
      </c>
      <c r="E2" s="5" t="s">
        <v>19</v>
      </c>
      <c r="F2" s="5" t="s">
        <v>20</v>
      </c>
      <c r="G2" s="5" t="s">
        <v>21</v>
      </c>
      <c r="H2" s="5">
        <v>3</v>
      </c>
      <c r="I2" s="5">
        <v>249.99</v>
      </c>
      <c r="J2" s="5" t="s">
        <v>22</v>
      </c>
      <c r="K2" s="5" t="s">
        <v>23</v>
      </c>
      <c r="L2" s="5" t="s">
        <v>24</v>
      </c>
      <c r="M2" s="6">
        <v>44425</v>
      </c>
      <c r="N2" s="5">
        <v>749.97</v>
      </c>
      <c r="O2" s="28">
        <f ca="1">DATEDIF(M2,TODAY(),"D")</f>
        <v>1672</v>
      </c>
      <c r="P2" s="28">
        <f>MONTH(Table1[[#This Row],[Date]])</f>
        <v>4</v>
      </c>
      <c r="Q2" s="28">
        <v>2024</v>
      </c>
      <c r="R2" s="30" t="str">
        <f>IF(N2&gt;=1000,"High Value","Normal")</f>
        <v>Normal</v>
      </c>
      <c r="S2" s="31">
        <f>SUMIF(D:D,D2,N:N)</f>
        <v>8309.739999999998</v>
      </c>
      <c r="T2" s="34">
        <f>IF(N2&gt;=500,1,IF(N2&gt;=1000,0,-1))</f>
        <v>1</v>
      </c>
      <c r="U2" s="37">
        <f ca="1">IF(A2&lt;&gt;"",IF(O2="",NOW(),O2),"")</f>
        <v>1672</v>
      </c>
      <c r="V2" s="39">
        <f ca="1">TODAY()</f>
        <v>46097</v>
      </c>
      <c r="W2" s="40">
        <f ca="1">NOW()</f>
        <v>46097.72146886574</v>
      </c>
    </row>
    <row r="3" spans="1:26" ht="14.4" x14ac:dyDescent="0.3">
      <c r="A3" s="5" t="s">
        <v>25</v>
      </c>
      <c r="B3" s="6">
        <v>45396</v>
      </c>
      <c r="C3" s="5" t="s">
        <v>26</v>
      </c>
      <c r="D3" s="5" t="s">
        <v>27</v>
      </c>
      <c r="E3" s="5" t="s">
        <v>19</v>
      </c>
      <c r="F3" s="5" t="s">
        <v>20</v>
      </c>
      <c r="G3" s="5" t="s">
        <v>21</v>
      </c>
      <c r="H3" s="5">
        <v>3</v>
      </c>
      <c r="I3" s="5">
        <v>249.99</v>
      </c>
      <c r="J3" s="5" t="s">
        <v>28</v>
      </c>
      <c r="K3" s="5" t="s">
        <v>23</v>
      </c>
      <c r="L3" s="5" t="s">
        <v>29</v>
      </c>
      <c r="M3" s="6">
        <v>44575</v>
      </c>
      <c r="N3" s="5">
        <v>749.97</v>
      </c>
      <c r="O3" s="28">
        <f t="shared" ref="O3:O66" ca="1" si="0">DATEDIF(M3,TODAY(),"D")</f>
        <v>1522</v>
      </c>
      <c r="P3" s="28">
        <f>MONTH(Table1[[#This Row],[Date]])</f>
        <v>4</v>
      </c>
      <c r="Q3" s="28">
        <f t="shared" ref="Q3:Q66" si="1">YEAR(B3)</f>
        <v>2024</v>
      </c>
      <c r="R3" s="30" t="str">
        <f t="shared" ref="R3:R66" si="2">IF(N3&gt;=1000,"High Value","Normal")</f>
        <v>Normal</v>
      </c>
      <c r="S3" s="31">
        <f t="shared" ref="S3:S66" si="3">SUMIF(D:D,D3,N:N)</f>
        <v>6949.84</v>
      </c>
      <c r="T3" s="34">
        <f t="shared" ref="T3:T24" si="4">IF(N3&gt;=500,1,IF(N3&gt;=1000,0,-1))</f>
        <v>1</v>
      </c>
      <c r="U3" s="36">
        <f t="shared" ref="U3:U11" ca="1" si="5">IF(A3&lt;&gt;"",IF(O3="",NOW(),O3),"")</f>
        <v>1522</v>
      </c>
    </row>
    <row r="4" spans="1:26" ht="14.4" x14ac:dyDescent="0.3">
      <c r="A4" s="5" t="s">
        <v>30</v>
      </c>
      <c r="B4" s="6">
        <v>45399</v>
      </c>
      <c r="C4" s="5" t="s">
        <v>31</v>
      </c>
      <c r="D4" s="5" t="s">
        <v>32</v>
      </c>
      <c r="E4" s="5" t="s">
        <v>33</v>
      </c>
      <c r="F4" s="5" t="s">
        <v>34</v>
      </c>
      <c r="G4" s="5" t="s">
        <v>35</v>
      </c>
      <c r="H4" s="5">
        <v>3</v>
      </c>
      <c r="I4" s="5">
        <v>59.99</v>
      </c>
      <c r="J4" s="5" t="s">
        <v>36</v>
      </c>
      <c r="K4" s="5" t="s">
        <v>37</v>
      </c>
      <c r="L4" s="5" t="s">
        <v>38</v>
      </c>
      <c r="M4" s="6">
        <v>45262</v>
      </c>
      <c r="N4" s="5">
        <v>179.97</v>
      </c>
      <c r="O4" s="28">
        <f t="shared" ca="1" si="0"/>
        <v>835</v>
      </c>
      <c r="P4" s="28">
        <f>MONTH(Table1[[#This Row],[Date]])</f>
        <v>4</v>
      </c>
      <c r="Q4" s="28">
        <f t="shared" si="1"/>
        <v>2024</v>
      </c>
      <c r="R4" s="30" t="str">
        <f t="shared" si="2"/>
        <v>Normal</v>
      </c>
      <c r="S4" s="31">
        <f t="shared" si="3"/>
        <v>3259.87</v>
      </c>
      <c r="T4" s="34">
        <f t="shared" si="4"/>
        <v>-1</v>
      </c>
      <c r="U4" s="36">
        <f t="shared" ca="1" si="5"/>
        <v>835</v>
      </c>
    </row>
    <row r="5" spans="1:26" ht="14.4" x14ac:dyDescent="0.3">
      <c r="A5" s="5" t="s">
        <v>39</v>
      </c>
      <c r="B5" s="6">
        <v>45400</v>
      </c>
      <c r="C5" s="5" t="s">
        <v>40</v>
      </c>
      <c r="D5" s="5" t="s">
        <v>41</v>
      </c>
      <c r="E5" s="5" t="s">
        <v>33</v>
      </c>
      <c r="F5" s="5" t="s">
        <v>34</v>
      </c>
      <c r="G5" s="5" t="s">
        <v>35</v>
      </c>
      <c r="H5" s="5">
        <v>3</v>
      </c>
      <c r="I5" s="5">
        <v>59.99</v>
      </c>
      <c r="J5" s="5" t="s">
        <v>22</v>
      </c>
      <c r="K5" s="5" t="s">
        <v>42</v>
      </c>
      <c r="L5" s="5" t="s">
        <v>29</v>
      </c>
      <c r="M5" s="6">
        <v>45114</v>
      </c>
      <c r="N5" s="5">
        <v>179.97</v>
      </c>
      <c r="O5" s="28">
        <f t="shared" ca="1" si="0"/>
        <v>983</v>
      </c>
      <c r="P5" s="28">
        <f>MONTH(Table1[[#This Row],[Date]])</f>
        <v>4</v>
      </c>
      <c r="Q5" s="28">
        <f t="shared" si="1"/>
        <v>2024</v>
      </c>
      <c r="R5" s="30" t="str">
        <f t="shared" si="2"/>
        <v>Normal</v>
      </c>
      <c r="S5" s="31">
        <f t="shared" si="3"/>
        <v>4309.8099999999995</v>
      </c>
      <c r="T5" s="34">
        <f t="shared" si="4"/>
        <v>-1</v>
      </c>
      <c r="U5" s="36">
        <f t="shared" ca="1" si="5"/>
        <v>983</v>
      </c>
    </row>
    <row r="6" spans="1:26" ht="14.4" x14ac:dyDescent="0.3">
      <c r="A6" s="5" t="s">
        <v>43</v>
      </c>
      <c r="B6" s="6">
        <v>45400</v>
      </c>
      <c r="C6" s="5" t="s">
        <v>44</v>
      </c>
      <c r="D6" s="5" t="s">
        <v>45</v>
      </c>
      <c r="E6" s="5" t="s">
        <v>46</v>
      </c>
      <c r="F6" s="5" t="s">
        <v>47</v>
      </c>
      <c r="G6" s="5" t="s">
        <v>48</v>
      </c>
      <c r="H6" s="5">
        <v>5</v>
      </c>
      <c r="I6" s="5">
        <v>149.99</v>
      </c>
      <c r="J6" s="5" t="s">
        <v>28</v>
      </c>
      <c r="K6" s="5" t="s">
        <v>42</v>
      </c>
      <c r="L6" s="5" t="s">
        <v>29</v>
      </c>
      <c r="M6" s="6">
        <v>45295</v>
      </c>
      <c r="N6" s="5">
        <v>749.95</v>
      </c>
      <c r="O6" s="28">
        <f t="shared" ca="1" si="0"/>
        <v>802</v>
      </c>
      <c r="P6" s="28">
        <f>MONTH(Table1[[#This Row],[Date]])</f>
        <v>4</v>
      </c>
      <c r="Q6" s="28">
        <f t="shared" si="1"/>
        <v>2024</v>
      </c>
      <c r="R6" s="30" t="str">
        <f t="shared" si="2"/>
        <v>Normal</v>
      </c>
      <c r="S6" s="31">
        <f t="shared" si="3"/>
        <v>6169.7400000000007</v>
      </c>
      <c r="T6" s="34">
        <f t="shared" si="4"/>
        <v>1</v>
      </c>
      <c r="U6" s="36">
        <f t="shared" ca="1" si="5"/>
        <v>802</v>
      </c>
    </row>
    <row r="7" spans="1:26" ht="14.4" x14ac:dyDescent="0.3">
      <c r="A7" s="5" t="s">
        <v>49</v>
      </c>
      <c r="B7" s="6">
        <v>45403</v>
      </c>
      <c r="C7" s="5" t="s">
        <v>50</v>
      </c>
      <c r="D7" s="5" t="s">
        <v>51</v>
      </c>
      <c r="E7" s="5" t="s">
        <v>33</v>
      </c>
      <c r="F7" s="5" t="s">
        <v>34</v>
      </c>
      <c r="G7" s="5" t="s">
        <v>35</v>
      </c>
      <c r="H7" s="5">
        <v>2</v>
      </c>
      <c r="I7" s="5">
        <v>59.99</v>
      </c>
      <c r="J7" s="5" t="s">
        <v>22</v>
      </c>
      <c r="K7" s="5" t="s">
        <v>52</v>
      </c>
      <c r="L7" s="5" t="s">
        <v>38</v>
      </c>
      <c r="M7" s="6">
        <v>44746</v>
      </c>
      <c r="N7" s="5">
        <v>119.98</v>
      </c>
      <c r="O7" s="28">
        <f t="shared" ca="1" si="0"/>
        <v>1351</v>
      </c>
      <c r="P7" s="28">
        <f>MONTH(Table1[[#This Row],[Date]])</f>
        <v>4</v>
      </c>
      <c r="Q7" s="28">
        <f t="shared" si="1"/>
        <v>2024</v>
      </c>
      <c r="R7" s="30" t="str">
        <f t="shared" si="2"/>
        <v>Normal</v>
      </c>
      <c r="S7" s="31">
        <f t="shared" si="3"/>
        <v>8269.7900000000009</v>
      </c>
      <c r="T7" s="34">
        <f t="shared" si="4"/>
        <v>-1</v>
      </c>
      <c r="U7" s="36">
        <f t="shared" ca="1" si="5"/>
        <v>1351</v>
      </c>
    </row>
    <row r="8" spans="1:26" ht="14.4" x14ac:dyDescent="0.3">
      <c r="A8" s="5" t="s">
        <v>53</v>
      </c>
      <c r="B8" s="6">
        <v>45403</v>
      </c>
      <c r="C8" s="5" t="s">
        <v>50</v>
      </c>
      <c r="D8" s="5" t="s">
        <v>51</v>
      </c>
      <c r="E8" s="5" t="s">
        <v>54</v>
      </c>
      <c r="F8" s="5" t="s">
        <v>55</v>
      </c>
      <c r="G8" s="5" t="s">
        <v>21</v>
      </c>
      <c r="H8" s="5">
        <v>5</v>
      </c>
      <c r="I8" s="5">
        <v>149.99</v>
      </c>
      <c r="J8" s="5" t="s">
        <v>28</v>
      </c>
      <c r="K8" s="5" t="s">
        <v>23</v>
      </c>
      <c r="L8" s="5" t="s">
        <v>38</v>
      </c>
      <c r="M8" s="6">
        <v>44418</v>
      </c>
      <c r="N8" s="5">
        <v>749.95</v>
      </c>
      <c r="O8" s="28">
        <f t="shared" ca="1" si="0"/>
        <v>1679</v>
      </c>
      <c r="P8" s="28">
        <f>MONTH(Table1[[#This Row],[Date]])</f>
        <v>4</v>
      </c>
      <c r="Q8" s="28">
        <f t="shared" si="1"/>
        <v>2024</v>
      </c>
      <c r="R8" s="30" t="str">
        <f t="shared" si="2"/>
        <v>Normal</v>
      </c>
      <c r="S8" s="31">
        <f t="shared" si="3"/>
        <v>8269.7900000000009</v>
      </c>
      <c r="T8" s="34">
        <f t="shared" si="4"/>
        <v>1</v>
      </c>
      <c r="U8" s="36">
        <f t="shared" ca="1" si="5"/>
        <v>1679</v>
      </c>
    </row>
    <row r="9" spans="1:26" ht="14.4" x14ac:dyDescent="0.3">
      <c r="A9" s="5" t="s">
        <v>56</v>
      </c>
      <c r="B9" s="6">
        <v>45403</v>
      </c>
      <c r="C9" s="5" t="s">
        <v>57</v>
      </c>
      <c r="D9" s="5" t="s">
        <v>58</v>
      </c>
      <c r="E9" s="5" t="s">
        <v>33</v>
      </c>
      <c r="F9" s="5" t="s">
        <v>34</v>
      </c>
      <c r="G9" s="5" t="s">
        <v>35</v>
      </c>
      <c r="H9" s="5">
        <v>3</v>
      </c>
      <c r="I9" s="5">
        <v>59.99</v>
      </c>
      <c r="J9" s="5" t="s">
        <v>59</v>
      </c>
      <c r="K9" s="5" t="s">
        <v>37</v>
      </c>
      <c r="L9" s="5" t="s">
        <v>24</v>
      </c>
      <c r="M9" s="6">
        <v>45007</v>
      </c>
      <c r="N9" s="5">
        <v>179.97</v>
      </c>
      <c r="O9" s="28">
        <f t="shared" ca="1" si="0"/>
        <v>1090</v>
      </c>
      <c r="P9" s="28">
        <f>MONTH(Table1[[#This Row],[Date]])</f>
        <v>4</v>
      </c>
      <c r="Q9" s="28">
        <f t="shared" si="1"/>
        <v>2024</v>
      </c>
      <c r="R9" s="30" t="str">
        <f t="shared" si="2"/>
        <v>Normal</v>
      </c>
      <c r="S9" s="31">
        <f t="shared" si="3"/>
        <v>5089.7300000000005</v>
      </c>
      <c r="T9" s="34">
        <f t="shared" si="4"/>
        <v>-1</v>
      </c>
      <c r="U9" s="36">
        <f t="shared" ca="1" si="5"/>
        <v>1090</v>
      </c>
    </row>
    <row r="10" spans="1:26" ht="14.4" x14ac:dyDescent="0.3">
      <c r="A10" s="5" t="s">
        <v>60</v>
      </c>
      <c r="B10" s="6">
        <v>45405</v>
      </c>
      <c r="C10" s="5" t="s">
        <v>61</v>
      </c>
      <c r="D10" s="5" t="s">
        <v>62</v>
      </c>
      <c r="E10" s="5" t="s">
        <v>63</v>
      </c>
      <c r="F10" s="5" t="s">
        <v>64</v>
      </c>
      <c r="G10" s="5" t="s">
        <v>21</v>
      </c>
      <c r="H10" s="5">
        <v>3</v>
      </c>
      <c r="I10" s="5">
        <v>899.99</v>
      </c>
      <c r="J10" s="5" t="s">
        <v>36</v>
      </c>
      <c r="K10" s="5" t="s">
        <v>65</v>
      </c>
      <c r="L10" s="5" t="s">
        <v>38</v>
      </c>
      <c r="M10" s="6">
        <v>45299</v>
      </c>
      <c r="N10" s="5">
        <v>2699.97</v>
      </c>
      <c r="O10" s="28">
        <f t="shared" ca="1" si="0"/>
        <v>798</v>
      </c>
      <c r="P10" s="28">
        <f>MONTH(Table1[[#This Row],[Date]])</f>
        <v>4</v>
      </c>
      <c r="Q10" s="28">
        <f t="shared" si="1"/>
        <v>2024</v>
      </c>
      <c r="R10" s="30" t="str">
        <f t="shared" si="2"/>
        <v>High Value</v>
      </c>
      <c r="S10" s="31">
        <f t="shared" si="3"/>
        <v>3509.8999999999996</v>
      </c>
      <c r="T10" s="34">
        <f t="shared" si="4"/>
        <v>1</v>
      </c>
      <c r="U10" s="36">
        <f t="shared" ca="1" si="5"/>
        <v>798</v>
      </c>
    </row>
    <row r="11" spans="1:26" ht="14.4" x14ac:dyDescent="0.3">
      <c r="A11" s="5" t="s">
        <v>66</v>
      </c>
      <c r="B11" s="6">
        <v>45408</v>
      </c>
      <c r="C11" s="5" t="s">
        <v>67</v>
      </c>
      <c r="D11" s="5" t="s">
        <v>68</v>
      </c>
      <c r="E11" s="5" t="s">
        <v>33</v>
      </c>
      <c r="F11" s="5" t="s">
        <v>34</v>
      </c>
      <c r="G11" s="5" t="s">
        <v>35</v>
      </c>
      <c r="H11" s="5">
        <v>3</v>
      </c>
      <c r="I11" s="5">
        <v>59.99</v>
      </c>
      <c r="J11" s="5" t="s">
        <v>22</v>
      </c>
      <c r="K11" s="5" t="s">
        <v>52</v>
      </c>
      <c r="L11" s="5" t="s">
        <v>29</v>
      </c>
      <c r="M11" s="6">
        <v>45207</v>
      </c>
      <c r="N11" s="5">
        <v>179.97</v>
      </c>
      <c r="O11" s="28">
        <f t="shared" ca="1" si="0"/>
        <v>890</v>
      </c>
      <c r="P11" s="28">
        <f>MONTH(Table1[[#This Row],[Date]])</f>
        <v>4</v>
      </c>
      <c r="Q11" s="28">
        <f t="shared" si="1"/>
        <v>2024</v>
      </c>
      <c r="R11" s="30" t="str">
        <f t="shared" si="2"/>
        <v>Normal</v>
      </c>
      <c r="S11" s="31">
        <f t="shared" si="3"/>
        <v>8009.7699999999995</v>
      </c>
      <c r="T11" s="34">
        <f t="shared" si="4"/>
        <v>-1</v>
      </c>
      <c r="U11" s="36">
        <f t="shared" ca="1" si="5"/>
        <v>890</v>
      </c>
    </row>
    <row r="12" spans="1:26" ht="14.4" x14ac:dyDescent="0.3">
      <c r="A12" s="5" t="s">
        <v>69</v>
      </c>
      <c r="B12" s="6">
        <v>45408</v>
      </c>
      <c r="C12" s="5" t="s">
        <v>70</v>
      </c>
      <c r="D12" s="5" t="s">
        <v>71</v>
      </c>
      <c r="E12" s="5" t="s">
        <v>46</v>
      </c>
      <c r="F12" s="5" t="s">
        <v>47</v>
      </c>
      <c r="G12" s="5" t="s">
        <v>48</v>
      </c>
      <c r="H12" s="5">
        <v>1</v>
      </c>
      <c r="I12" s="5">
        <v>149.99</v>
      </c>
      <c r="J12" s="5" t="s">
        <v>28</v>
      </c>
      <c r="K12" s="5" t="s">
        <v>52</v>
      </c>
      <c r="L12" s="5" t="s">
        <v>38</v>
      </c>
      <c r="M12" s="6">
        <v>45103</v>
      </c>
      <c r="N12" s="5">
        <v>149.99</v>
      </c>
      <c r="O12" s="28">
        <f t="shared" ca="1" si="0"/>
        <v>994</v>
      </c>
      <c r="P12" s="28">
        <f>MONTH(Table1[[#This Row],[Date]])</f>
        <v>4</v>
      </c>
      <c r="Q12" s="28">
        <f t="shared" si="1"/>
        <v>2024</v>
      </c>
      <c r="R12" s="30" t="str">
        <f t="shared" si="2"/>
        <v>Normal</v>
      </c>
      <c r="S12" s="31">
        <f t="shared" si="3"/>
        <v>1979.89</v>
      </c>
      <c r="T12" s="34">
        <f t="shared" si="4"/>
        <v>-1</v>
      </c>
    </row>
    <row r="13" spans="1:26" ht="14.4" x14ac:dyDescent="0.3">
      <c r="A13" s="5" t="s">
        <v>72</v>
      </c>
      <c r="B13" s="6">
        <v>45408</v>
      </c>
      <c r="C13" s="5" t="s">
        <v>40</v>
      </c>
      <c r="D13" s="5" t="s">
        <v>41</v>
      </c>
      <c r="E13" s="5" t="s">
        <v>46</v>
      </c>
      <c r="F13" s="5" t="s">
        <v>47</v>
      </c>
      <c r="G13" s="5" t="s">
        <v>48</v>
      </c>
      <c r="H13" s="5">
        <v>5</v>
      </c>
      <c r="I13" s="5">
        <v>149.99</v>
      </c>
      <c r="J13" s="5" t="s">
        <v>59</v>
      </c>
      <c r="K13" s="5" t="s">
        <v>42</v>
      </c>
      <c r="L13" s="5" t="s">
        <v>24</v>
      </c>
      <c r="M13" s="6">
        <v>44830</v>
      </c>
      <c r="N13" s="5">
        <v>749.95</v>
      </c>
      <c r="O13" s="28">
        <f t="shared" ca="1" si="0"/>
        <v>1267</v>
      </c>
      <c r="P13" s="28">
        <f>MONTH(Table1[[#This Row],[Date]])</f>
        <v>4</v>
      </c>
      <c r="Q13" s="28">
        <f t="shared" si="1"/>
        <v>2024</v>
      </c>
      <c r="R13" s="30" t="str">
        <f t="shared" si="2"/>
        <v>Normal</v>
      </c>
      <c r="S13" s="31">
        <f t="shared" si="3"/>
        <v>4309.8099999999995</v>
      </c>
      <c r="T13" s="34">
        <f t="shared" si="4"/>
        <v>1</v>
      </c>
    </row>
    <row r="14" spans="1:26" ht="14.4" x14ac:dyDescent="0.3">
      <c r="A14" s="5" t="s">
        <v>73</v>
      </c>
      <c r="B14" s="6">
        <v>45408</v>
      </c>
      <c r="C14" s="5" t="s">
        <v>74</v>
      </c>
      <c r="D14" s="5" t="s">
        <v>75</v>
      </c>
      <c r="E14" s="5" t="s">
        <v>46</v>
      </c>
      <c r="F14" s="5" t="s">
        <v>47</v>
      </c>
      <c r="G14" s="5" t="s">
        <v>48</v>
      </c>
      <c r="H14" s="5">
        <v>3</v>
      </c>
      <c r="I14" s="5">
        <v>149.99</v>
      </c>
      <c r="J14" s="5" t="s">
        <v>22</v>
      </c>
      <c r="K14" s="5" t="s">
        <v>42</v>
      </c>
      <c r="L14" s="5" t="s">
        <v>29</v>
      </c>
      <c r="M14" s="6">
        <v>44806</v>
      </c>
      <c r="N14" s="5">
        <v>449.97</v>
      </c>
      <c r="O14" s="28">
        <f t="shared" ca="1" si="0"/>
        <v>1291</v>
      </c>
      <c r="P14" s="28">
        <f>MONTH(Table1[[#This Row],[Date]])</f>
        <v>4</v>
      </c>
      <c r="Q14" s="28">
        <f t="shared" si="1"/>
        <v>2024</v>
      </c>
      <c r="R14" s="30" t="str">
        <f t="shared" si="2"/>
        <v>Normal</v>
      </c>
      <c r="S14" s="31">
        <f t="shared" si="3"/>
        <v>5949.85</v>
      </c>
      <c r="T14" s="34">
        <f t="shared" si="4"/>
        <v>-1</v>
      </c>
    </row>
    <row r="15" spans="1:26" ht="14.4" x14ac:dyDescent="0.3">
      <c r="A15" s="5" t="s">
        <v>76</v>
      </c>
      <c r="B15" s="6">
        <v>45409</v>
      </c>
      <c r="C15" s="5" t="s">
        <v>77</v>
      </c>
      <c r="D15" s="5" t="s">
        <v>78</v>
      </c>
      <c r="E15" s="5" t="s">
        <v>33</v>
      </c>
      <c r="F15" s="5" t="s">
        <v>34</v>
      </c>
      <c r="G15" s="5" t="s">
        <v>35</v>
      </c>
      <c r="H15" s="5">
        <v>3</v>
      </c>
      <c r="I15" s="5">
        <v>59.99</v>
      </c>
      <c r="J15" s="5" t="s">
        <v>28</v>
      </c>
      <c r="K15" s="5" t="s">
        <v>42</v>
      </c>
      <c r="L15" s="5" t="s">
        <v>38</v>
      </c>
      <c r="M15" s="6">
        <v>45351</v>
      </c>
      <c r="N15" s="5">
        <v>179.97</v>
      </c>
      <c r="O15" s="28">
        <f t="shared" ca="1" si="0"/>
        <v>746</v>
      </c>
      <c r="P15" s="28">
        <f>MONTH(Table1[[#This Row],[Date]])</f>
        <v>4</v>
      </c>
      <c r="Q15" s="28">
        <f t="shared" si="1"/>
        <v>2024</v>
      </c>
      <c r="R15" s="30" t="str">
        <f t="shared" si="2"/>
        <v>Normal</v>
      </c>
      <c r="S15" s="31">
        <f t="shared" si="3"/>
        <v>479.91999999999996</v>
      </c>
      <c r="T15" s="34">
        <f t="shared" si="4"/>
        <v>-1</v>
      </c>
    </row>
    <row r="16" spans="1:26" ht="14.4" x14ac:dyDescent="0.3">
      <c r="A16" s="5" t="s">
        <v>79</v>
      </c>
      <c r="B16" s="6">
        <v>45409</v>
      </c>
      <c r="C16" s="5" t="s">
        <v>80</v>
      </c>
      <c r="D16" s="5" t="s">
        <v>81</v>
      </c>
      <c r="E16" s="5" t="s">
        <v>82</v>
      </c>
      <c r="F16" s="5" t="s">
        <v>83</v>
      </c>
      <c r="G16" s="5" t="s">
        <v>21</v>
      </c>
      <c r="H16" s="5">
        <v>3</v>
      </c>
      <c r="I16" s="5">
        <v>699.99</v>
      </c>
      <c r="J16" s="5" t="s">
        <v>28</v>
      </c>
      <c r="K16" s="5" t="s">
        <v>52</v>
      </c>
      <c r="L16" s="5" t="s">
        <v>24</v>
      </c>
      <c r="M16" s="6">
        <v>44577</v>
      </c>
      <c r="N16" s="5">
        <v>2099.9699999999998</v>
      </c>
      <c r="O16" s="28">
        <f t="shared" ca="1" si="0"/>
        <v>1520</v>
      </c>
      <c r="P16" s="28">
        <f>MONTH(Table1[[#This Row],[Date]])</f>
        <v>4</v>
      </c>
      <c r="Q16" s="28">
        <f t="shared" si="1"/>
        <v>2024</v>
      </c>
      <c r="R16" s="30" t="str">
        <f t="shared" si="2"/>
        <v>High Value</v>
      </c>
      <c r="S16" s="31">
        <f t="shared" si="3"/>
        <v>4199.9399999999996</v>
      </c>
      <c r="T16" s="34">
        <f t="shared" si="4"/>
        <v>1</v>
      </c>
    </row>
    <row r="17" spans="1:20" ht="14.4" x14ac:dyDescent="0.3">
      <c r="A17" s="5" t="s">
        <v>84</v>
      </c>
      <c r="B17" s="6">
        <v>45409</v>
      </c>
      <c r="C17" s="5" t="s">
        <v>85</v>
      </c>
      <c r="D17" s="5" t="s">
        <v>86</v>
      </c>
      <c r="E17" s="5" t="s">
        <v>63</v>
      </c>
      <c r="F17" s="5" t="s">
        <v>64</v>
      </c>
      <c r="G17" s="5" t="s">
        <v>21</v>
      </c>
      <c r="H17" s="5">
        <v>1</v>
      </c>
      <c r="I17" s="5">
        <v>899.99</v>
      </c>
      <c r="J17" s="5" t="s">
        <v>59</v>
      </c>
      <c r="K17" s="5" t="s">
        <v>42</v>
      </c>
      <c r="L17" s="5" t="s">
        <v>38</v>
      </c>
      <c r="M17" s="6">
        <v>44920</v>
      </c>
      <c r="N17" s="5">
        <v>899.99</v>
      </c>
      <c r="O17" s="28">
        <f t="shared" ca="1" si="0"/>
        <v>1177</v>
      </c>
      <c r="P17" s="28">
        <f>MONTH(Table1[[#This Row],[Date]])</f>
        <v>4</v>
      </c>
      <c r="Q17" s="28">
        <f t="shared" si="1"/>
        <v>2024</v>
      </c>
      <c r="R17" s="30" t="str">
        <f t="shared" si="2"/>
        <v>Normal</v>
      </c>
      <c r="S17" s="31">
        <f t="shared" si="3"/>
        <v>3779.93</v>
      </c>
      <c r="T17" s="34">
        <f t="shared" si="4"/>
        <v>1</v>
      </c>
    </row>
    <row r="18" spans="1:20" ht="14.4" x14ac:dyDescent="0.3">
      <c r="A18" s="5" t="s">
        <v>87</v>
      </c>
      <c r="B18" s="6">
        <v>45410</v>
      </c>
      <c r="C18" s="5" t="s">
        <v>88</v>
      </c>
      <c r="D18" s="5" t="s">
        <v>89</v>
      </c>
      <c r="E18" s="5" t="s">
        <v>46</v>
      </c>
      <c r="F18" s="5" t="s">
        <v>47</v>
      </c>
      <c r="G18" s="5" t="s">
        <v>48</v>
      </c>
      <c r="H18" s="5">
        <v>4</v>
      </c>
      <c r="I18" s="5">
        <v>149.99</v>
      </c>
      <c r="J18" s="5" t="s">
        <v>59</v>
      </c>
      <c r="K18" s="5" t="s">
        <v>42</v>
      </c>
      <c r="L18" s="5" t="s">
        <v>29</v>
      </c>
      <c r="M18" s="6">
        <v>45374</v>
      </c>
      <c r="N18" s="5">
        <v>599.96</v>
      </c>
      <c r="O18" s="28">
        <f t="shared" ca="1" si="0"/>
        <v>723</v>
      </c>
      <c r="P18" s="28">
        <f>MONTH(Table1[[#This Row],[Date]])</f>
        <v>4</v>
      </c>
      <c r="Q18" s="28">
        <f t="shared" si="1"/>
        <v>2024</v>
      </c>
      <c r="R18" s="30" t="str">
        <f t="shared" si="2"/>
        <v>Normal</v>
      </c>
      <c r="S18" s="31">
        <f t="shared" si="3"/>
        <v>15659.65</v>
      </c>
      <c r="T18" s="34">
        <f t="shared" si="4"/>
        <v>1</v>
      </c>
    </row>
    <row r="19" spans="1:20" ht="14.4" x14ac:dyDescent="0.3">
      <c r="A19" s="5" t="s">
        <v>90</v>
      </c>
      <c r="B19" s="6">
        <v>45410</v>
      </c>
      <c r="C19" s="5" t="s">
        <v>91</v>
      </c>
      <c r="D19" s="5" t="s">
        <v>92</v>
      </c>
      <c r="E19" s="5" t="s">
        <v>82</v>
      </c>
      <c r="F19" s="5" t="s">
        <v>83</v>
      </c>
      <c r="G19" s="5" t="s">
        <v>21</v>
      </c>
      <c r="H19" s="5">
        <v>2</v>
      </c>
      <c r="I19" s="5">
        <v>699.99</v>
      </c>
      <c r="J19" s="5" t="s">
        <v>22</v>
      </c>
      <c r="K19" s="5" t="s">
        <v>42</v>
      </c>
      <c r="L19" s="5" t="s">
        <v>24</v>
      </c>
      <c r="M19" s="6">
        <v>44781</v>
      </c>
      <c r="N19" s="5">
        <v>1399.98</v>
      </c>
      <c r="O19" s="28">
        <f t="shared" ca="1" si="0"/>
        <v>1316</v>
      </c>
      <c r="P19" s="28">
        <f>MONTH(Table1[[#This Row],[Date]])</f>
        <v>4</v>
      </c>
      <c r="Q19" s="28">
        <f t="shared" si="1"/>
        <v>2024</v>
      </c>
      <c r="R19" s="30" t="str">
        <f t="shared" si="2"/>
        <v>High Value</v>
      </c>
      <c r="S19" s="31">
        <f t="shared" si="3"/>
        <v>1909.93</v>
      </c>
      <c r="T19" s="34">
        <f t="shared" si="4"/>
        <v>1</v>
      </c>
    </row>
    <row r="20" spans="1:20" ht="14.4" x14ac:dyDescent="0.3">
      <c r="A20" s="5" t="s">
        <v>93</v>
      </c>
      <c r="B20" s="6">
        <v>45410</v>
      </c>
      <c r="C20" s="5" t="s">
        <v>88</v>
      </c>
      <c r="D20" s="5" t="s">
        <v>89</v>
      </c>
      <c r="E20" s="5" t="s">
        <v>63</v>
      </c>
      <c r="F20" s="5" t="s">
        <v>64</v>
      </c>
      <c r="G20" s="5" t="s">
        <v>21</v>
      </c>
      <c r="H20" s="5">
        <v>4</v>
      </c>
      <c r="I20" s="5">
        <v>899.99</v>
      </c>
      <c r="J20" s="5" t="s">
        <v>28</v>
      </c>
      <c r="K20" s="5" t="s">
        <v>52</v>
      </c>
      <c r="L20" s="5" t="s">
        <v>38</v>
      </c>
      <c r="M20" s="6">
        <v>45327</v>
      </c>
      <c r="N20" s="5">
        <v>3599.96</v>
      </c>
      <c r="O20" s="28">
        <f t="shared" ca="1" si="0"/>
        <v>770</v>
      </c>
      <c r="P20" s="28">
        <f>MONTH(Table1[[#This Row],[Date]])</f>
        <v>4</v>
      </c>
      <c r="Q20" s="28">
        <f t="shared" si="1"/>
        <v>2024</v>
      </c>
      <c r="R20" s="30" t="str">
        <f t="shared" si="2"/>
        <v>High Value</v>
      </c>
      <c r="S20" s="31">
        <f t="shared" si="3"/>
        <v>15659.65</v>
      </c>
      <c r="T20" s="34">
        <f t="shared" si="4"/>
        <v>1</v>
      </c>
    </row>
    <row r="21" spans="1:20" ht="15.75" customHeight="1" x14ac:dyDescent="0.3">
      <c r="A21" s="5" t="s">
        <v>94</v>
      </c>
      <c r="B21" s="6">
        <v>45410</v>
      </c>
      <c r="C21" s="5" t="s">
        <v>95</v>
      </c>
      <c r="D21" s="5" t="s">
        <v>96</v>
      </c>
      <c r="E21" s="5" t="s">
        <v>19</v>
      </c>
      <c r="F21" s="5" t="s">
        <v>20</v>
      </c>
      <c r="G21" s="5" t="s">
        <v>21</v>
      </c>
      <c r="H21" s="5">
        <v>3</v>
      </c>
      <c r="I21" s="5">
        <v>249.99</v>
      </c>
      <c r="J21" s="5" t="s">
        <v>28</v>
      </c>
      <c r="K21" s="5" t="s">
        <v>42</v>
      </c>
      <c r="L21" s="5" t="s">
        <v>29</v>
      </c>
      <c r="M21" s="6">
        <v>45224</v>
      </c>
      <c r="N21" s="5">
        <v>749.97</v>
      </c>
      <c r="O21" s="28">
        <f t="shared" ca="1" si="0"/>
        <v>873</v>
      </c>
      <c r="P21" s="28">
        <f>MONTH(Table1[[#This Row],[Date]])</f>
        <v>4</v>
      </c>
      <c r="Q21" s="28">
        <f t="shared" si="1"/>
        <v>2024</v>
      </c>
      <c r="R21" s="30" t="str">
        <f t="shared" si="2"/>
        <v>Normal</v>
      </c>
      <c r="S21" s="31">
        <f t="shared" si="3"/>
        <v>4789.7900000000009</v>
      </c>
      <c r="T21" s="34">
        <f t="shared" si="4"/>
        <v>1</v>
      </c>
    </row>
    <row r="22" spans="1:20" ht="15.75" customHeight="1" x14ac:dyDescent="0.3">
      <c r="A22" s="5" t="s">
        <v>97</v>
      </c>
      <c r="B22" s="6">
        <v>45412</v>
      </c>
      <c r="C22" s="5" t="s">
        <v>98</v>
      </c>
      <c r="D22" s="5" t="s">
        <v>99</v>
      </c>
      <c r="E22" s="5" t="s">
        <v>82</v>
      </c>
      <c r="F22" s="5" t="s">
        <v>83</v>
      </c>
      <c r="G22" s="5" t="s">
        <v>21</v>
      </c>
      <c r="H22" s="5">
        <v>5</v>
      </c>
      <c r="I22" s="5">
        <v>699.99</v>
      </c>
      <c r="J22" s="5" t="s">
        <v>22</v>
      </c>
      <c r="K22" s="5" t="s">
        <v>52</v>
      </c>
      <c r="L22" s="5" t="s">
        <v>24</v>
      </c>
      <c r="M22" s="6">
        <v>45167</v>
      </c>
      <c r="N22" s="5">
        <v>3499.95</v>
      </c>
      <c r="O22" s="28">
        <f t="shared" ca="1" si="0"/>
        <v>930</v>
      </c>
      <c r="P22" s="28">
        <f>MONTH(Table1[[#This Row],[Date]])</f>
        <v>4</v>
      </c>
      <c r="Q22" s="28">
        <f t="shared" si="1"/>
        <v>2024</v>
      </c>
      <c r="R22" s="30" t="str">
        <f t="shared" si="2"/>
        <v>High Value</v>
      </c>
      <c r="S22" s="31">
        <f t="shared" si="3"/>
        <v>10649.8</v>
      </c>
      <c r="T22" s="34">
        <f t="shared" si="4"/>
        <v>1</v>
      </c>
    </row>
    <row r="23" spans="1:20" ht="15.75" customHeight="1" x14ac:dyDescent="0.3">
      <c r="A23" s="5" t="s">
        <v>100</v>
      </c>
      <c r="B23" s="6">
        <v>45413</v>
      </c>
      <c r="C23" s="5" t="s">
        <v>101</v>
      </c>
      <c r="D23" s="5" t="s">
        <v>102</v>
      </c>
      <c r="E23" s="5" t="s">
        <v>82</v>
      </c>
      <c r="F23" s="5" t="s">
        <v>83</v>
      </c>
      <c r="G23" s="5" t="s">
        <v>21</v>
      </c>
      <c r="H23" s="5">
        <v>4</v>
      </c>
      <c r="I23" s="5">
        <v>699.99</v>
      </c>
      <c r="J23" s="5" t="s">
        <v>22</v>
      </c>
      <c r="K23" s="5" t="s">
        <v>65</v>
      </c>
      <c r="L23" s="5" t="s">
        <v>38</v>
      </c>
      <c r="M23" s="6">
        <v>44409</v>
      </c>
      <c r="N23" s="5">
        <v>2799.96</v>
      </c>
      <c r="O23" s="28">
        <f t="shared" ca="1" si="0"/>
        <v>1688</v>
      </c>
      <c r="P23" s="28">
        <f>MONTH(Table1[[#This Row],[Date]])</f>
        <v>5</v>
      </c>
      <c r="Q23" s="28">
        <f t="shared" si="1"/>
        <v>2024</v>
      </c>
      <c r="R23" s="30" t="str">
        <f t="shared" si="2"/>
        <v>High Value</v>
      </c>
      <c r="S23" s="31">
        <f t="shared" si="3"/>
        <v>9799.73</v>
      </c>
      <c r="T23" s="34">
        <f t="shared" si="4"/>
        <v>1</v>
      </c>
    </row>
    <row r="24" spans="1:20" ht="15.75" customHeight="1" x14ac:dyDescent="0.3">
      <c r="A24" s="5" t="s">
        <v>103</v>
      </c>
      <c r="B24" s="6">
        <v>45415</v>
      </c>
      <c r="C24" s="5" t="s">
        <v>104</v>
      </c>
      <c r="D24" s="5" t="s">
        <v>105</v>
      </c>
      <c r="E24" s="5" t="s">
        <v>19</v>
      </c>
      <c r="F24" s="5" t="s">
        <v>20</v>
      </c>
      <c r="G24" s="5" t="s">
        <v>21</v>
      </c>
      <c r="H24" s="5">
        <v>4</v>
      </c>
      <c r="I24" s="5">
        <v>249.99</v>
      </c>
      <c r="J24" s="5" t="s">
        <v>36</v>
      </c>
      <c r="K24" s="5" t="s">
        <v>42</v>
      </c>
      <c r="L24" s="5" t="s">
        <v>38</v>
      </c>
      <c r="M24" s="6">
        <v>44468</v>
      </c>
      <c r="N24" s="5">
        <v>999.96</v>
      </c>
      <c r="O24" s="28">
        <f t="shared" ca="1" si="0"/>
        <v>1629</v>
      </c>
      <c r="P24" s="28">
        <f>MONTH(Table1[[#This Row],[Date]])</f>
        <v>5</v>
      </c>
      <c r="Q24" s="28">
        <f t="shared" si="1"/>
        <v>2024</v>
      </c>
      <c r="R24" s="30" t="str">
        <f t="shared" si="2"/>
        <v>Normal</v>
      </c>
      <c r="S24" s="31">
        <f t="shared" si="3"/>
        <v>3769.8300000000004</v>
      </c>
      <c r="T24" s="34">
        <f t="shared" si="4"/>
        <v>1</v>
      </c>
    </row>
    <row r="25" spans="1:20" ht="15.75" customHeight="1" x14ac:dyDescent="0.3">
      <c r="A25" s="5" t="s">
        <v>106</v>
      </c>
      <c r="B25" s="6">
        <v>45416</v>
      </c>
      <c r="C25" s="5" t="s">
        <v>88</v>
      </c>
      <c r="D25" s="5" t="s">
        <v>89</v>
      </c>
      <c r="E25" s="5" t="s">
        <v>107</v>
      </c>
      <c r="F25" s="5" t="s">
        <v>108</v>
      </c>
      <c r="G25" s="5" t="s">
        <v>48</v>
      </c>
      <c r="H25" s="5">
        <v>4</v>
      </c>
      <c r="I25" s="5">
        <v>299.99</v>
      </c>
      <c r="J25" s="5" t="s">
        <v>22</v>
      </c>
      <c r="K25" s="5" t="s">
        <v>52</v>
      </c>
      <c r="L25" s="5" t="s">
        <v>29</v>
      </c>
      <c r="M25" s="6">
        <v>44716</v>
      </c>
      <c r="N25" s="5">
        <v>1199.96</v>
      </c>
      <c r="O25" s="28">
        <f t="shared" ca="1" si="0"/>
        <v>1381</v>
      </c>
      <c r="P25" s="28">
        <f>MONTH(Table1[[#This Row],[Date]])</f>
        <v>5</v>
      </c>
      <c r="Q25" s="28">
        <f t="shared" si="1"/>
        <v>2024</v>
      </c>
      <c r="R25" s="30" t="str">
        <f t="shared" si="2"/>
        <v>High Value</v>
      </c>
      <c r="S25" s="31">
        <f t="shared" si="3"/>
        <v>15659.65</v>
      </c>
    </row>
    <row r="26" spans="1:20" ht="15.75" customHeight="1" x14ac:dyDescent="0.3">
      <c r="A26" s="5" t="s">
        <v>109</v>
      </c>
      <c r="B26" s="6">
        <v>45422</v>
      </c>
      <c r="C26" s="5" t="s">
        <v>110</v>
      </c>
      <c r="D26" s="5" t="s">
        <v>111</v>
      </c>
      <c r="E26" s="5" t="s">
        <v>19</v>
      </c>
      <c r="F26" s="5" t="s">
        <v>20</v>
      </c>
      <c r="G26" s="5" t="s">
        <v>21</v>
      </c>
      <c r="H26" s="5">
        <v>5</v>
      </c>
      <c r="I26" s="5">
        <v>249.99</v>
      </c>
      <c r="J26" s="5" t="s">
        <v>28</v>
      </c>
      <c r="K26" s="5" t="s">
        <v>52</v>
      </c>
      <c r="L26" s="5" t="s">
        <v>38</v>
      </c>
      <c r="M26" s="6">
        <v>44525</v>
      </c>
      <c r="N26" s="5">
        <v>1249.95</v>
      </c>
      <c r="O26" s="28">
        <f t="shared" ca="1" si="0"/>
        <v>1572</v>
      </c>
      <c r="P26" s="28">
        <f>MONTH(Table1[[#This Row],[Date]])</f>
        <v>5</v>
      </c>
      <c r="Q26" s="28">
        <f t="shared" si="1"/>
        <v>2024</v>
      </c>
      <c r="R26" s="30" t="str">
        <f t="shared" si="2"/>
        <v>High Value</v>
      </c>
      <c r="S26" s="31">
        <f t="shared" si="3"/>
        <v>4189.7700000000004</v>
      </c>
    </row>
    <row r="27" spans="1:20" ht="15.75" customHeight="1" x14ac:dyDescent="0.3">
      <c r="A27" s="5" t="s">
        <v>112</v>
      </c>
      <c r="B27" s="6">
        <v>45424</v>
      </c>
      <c r="C27" s="5" t="s">
        <v>70</v>
      </c>
      <c r="D27" s="5" t="s">
        <v>71</v>
      </c>
      <c r="E27" s="5" t="s">
        <v>107</v>
      </c>
      <c r="F27" s="5" t="s">
        <v>108</v>
      </c>
      <c r="G27" s="5" t="s">
        <v>48</v>
      </c>
      <c r="H27" s="5">
        <v>5</v>
      </c>
      <c r="I27" s="5">
        <v>299.99</v>
      </c>
      <c r="J27" s="5" t="s">
        <v>36</v>
      </c>
      <c r="K27" s="5" t="s">
        <v>65</v>
      </c>
      <c r="L27" s="5" t="s">
        <v>24</v>
      </c>
      <c r="M27" s="6">
        <v>45168</v>
      </c>
      <c r="N27" s="5">
        <v>1499.95</v>
      </c>
      <c r="O27" s="28">
        <f t="shared" ca="1" si="0"/>
        <v>929</v>
      </c>
      <c r="P27" s="28">
        <f>MONTH(Table1[[#This Row],[Date]])</f>
        <v>5</v>
      </c>
      <c r="Q27" s="28">
        <f t="shared" si="1"/>
        <v>2024</v>
      </c>
      <c r="R27" s="30" t="str">
        <f t="shared" si="2"/>
        <v>High Value</v>
      </c>
      <c r="S27" s="31">
        <f t="shared" si="3"/>
        <v>1979.89</v>
      </c>
    </row>
    <row r="28" spans="1:20" ht="15.75" customHeight="1" x14ac:dyDescent="0.3">
      <c r="A28" s="5" t="s">
        <v>113</v>
      </c>
      <c r="B28" s="6">
        <v>45424</v>
      </c>
      <c r="C28" s="5" t="s">
        <v>114</v>
      </c>
      <c r="D28" s="5" t="s">
        <v>115</v>
      </c>
      <c r="E28" s="5" t="s">
        <v>116</v>
      </c>
      <c r="F28" s="5" t="s">
        <v>117</v>
      </c>
      <c r="G28" s="5" t="s">
        <v>35</v>
      </c>
      <c r="H28" s="5">
        <v>3</v>
      </c>
      <c r="I28" s="5">
        <v>79.989999999999995</v>
      </c>
      <c r="J28" s="5" t="s">
        <v>36</v>
      </c>
      <c r="K28" s="5" t="s">
        <v>65</v>
      </c>
      <c r="L28" s="5" t="s">
        <v>29</v>
      </c>
      <c r="M28" s="6">
        <v>45012</v>
      </c>
      <c r="N28" s="5">
        <v>239.97</v>
      </c>
      <c r="O28" s="28">
        <f t="shared" ca="1" si="0"/>
        <v>1085</v>
      </c>
      <c r="P28" s="28">
        <f>MONTH(Table1[[#This Row],[Date]])</f>
        <v>5</v>
      </c>
      <c r="Q28" s="28">
        <f t="shared" si="1"/>
        <v>2024</v>
      </c>
      <c r="R28" s="30" t="str">
        <f t="shared" si="2"/>
        <v>Normal</v>
      </c>
      <c r="S28" s="31">
        <f t="shared" si="3"/>
        <v>1289.9000000000001</v>
      </c>
    </row>
    <row r="29" spans="1:20" ht="15.75" customHeight="1" x14ac:dyDescent="0.3">
      <c r="A29" s="5" t="s">
        <v>118</v>
      </c>
      <c r="B29" s="6">
        <v>45424</v>
      </c>
      <c r="C29" s="5" t="s">
        <v>101</v>
      </c>
      <c r="D29" s="5" t="s">
        <v>102</v>
      </c>
      <c r="E29" s="5" t="s">
        <v>119</v>
      </c>
      <c r="F29" s="5" t="s">
        <v>120</v>
      </c>
      <c r="G29" s="5" t="s">
        <v>21</v>
      </c>
      <c r="H29" s="5">
        <v>5</v>
      </c>
      <c r="I29" s="5">
        <v>89.99</v>
      </c>
      <c r="J29" s="5" t="s">
        <v>22</v>
      </c>
      <c r="K29" s="5" t="s">
        <v>42</v>
      </c>
      <c r="L29" s="5" t="s">
        <v>29</v>
      </c>
      <c r="M29" s="6">
        <v>44919</v>
      </c>
      <c r="N29" s="5">
        <v>449.95</v>
      </c>
      <c r="O29" s="28">
        <f t="shared" ca="1" si="0"/>
        <v>1178</v>
      </c>
      <c r="P29" s="28">
        <f>MONTH(Table1[[#This Row],[Date]])</f>
        <v>5</v>
      </c>
      <c r="Q29" s="28">
        <f t="shared" si="1"/>
        <v>2024</v>
      </c>
      <c r="R29" s="30" t="str">
        <f t="shared" si="2"/>
        <v>Normal</v>
      </c>
      <c r="S29" s="31">
        <f t="shared" si="3"/>
        <v>9799.73</v>
      </c>
    </row>
    <row r="30" spans="1:20" ht="15.75" customHeight="1" x14ac:dyDescent="0.3">
      <c r="A30" s="5" t="s">
        <v>121</v>
      </c>
      <c r="B30" s="6">
        <v>45425</v>
      </c>
      <c r="C30" s="5" t="s">
        <v>122</v>
      </c>
      <c r="D30" s="5" t="s">
        <v>123</v>
      </c>
      <c r="E30" s="5" t="s">
        <v>33</v>
      </c>
      <c r="F30" s="5" t="s">
        <v>34</v>
      </c>
      <c r="G30" s="5" t="s">
        <v>35</v>
      </c>
      <c r="H30" s="5">
        <v>2</v>
      </c>
      <c r="I30" s="5">
        <v>59.99</v>
      </c>
      <c r="J30" s="5" t="s">
        <v>59</v>
      </c>
      <c r="K30" s="5" t="s">
        <v>23</v>
      </c>
      <c r="L30" s="5" t="s">
        <v>38</v>
      </c>
      <c r="M30" s="6">
        <v>45214</v>
      </c>
      <c r="N30" s="5">
        <v>119.98</v>
      </c>
      <c r="O30" s="28">
        <f t="shared" ca="1" si="0"/>
        <v>883</v>
      </c>
      <c r="P30" s="28">
        <f>MONTH(Table1[[#This Row],[Date]])</f>
        <v>5</v>
      </c>
      <c r="Q30" s="28">
        <f t="shared" si="1"/>
        <v>2024</v>
      </c>
      <c r="R30" s="30" t="str">
        <f t="shared" si="2"/>
        <v>Normal</v>
      </c>
      <c r="S30" s="31">
        <f t="shared" si="3"/>
        <v>6459.79</v>
      </c>
    </row>
    <row r="31" spans="1:20" ht="15.75" customHeight="1" x14ac:dyDescent="0.3">
      <c r="A31" s="5" t="s">
        <v>124</v>
      </c>
      <c r="B31" s="6">
        <v>45427</v>
      </c>
      <c r="C31" s="5" t="s">
        <v>125</v>
      </c>
      <c r="D31" s="5" t="s">
        <v>126</v>
      </c>
      <c r="E31" s="5" t="s">
        <v>33</v>
      </c>
      <c r="F31" s="5" t="s">
        <v>34</v>
      </c>
      <c r="G31" s="5" t="s">
        <v>35</v>
      </c>
      <c r="H31" s="5">
        <v>4</v>
      </c>
      <c r="I31" s="5">
        <v>59.99</v>
      </c>
      <c r="J31" s="5" t="s">
        <v>59</v>
      </c>
      <c r="K31" s="5" t="s">
        <v>65</v>
      </c>
      <c r="L31" s="5" t="s">
        <v>38</v>
      </c>
      <c r="M31" s="6">
        <v>44867</v>
      </c>
      <c r="N31" s="5">
        <v>239.96</v>
      </c>
      <c r="O31" s="28">
        <f t="shared" ca="1" si="0"/>
        <v>1230</v>
      </c>
      <c r="P31" s="28">
        <f>MONTH(Table1[[#This Row],[Date]])</f>
        <v>5</v>
      </c>
      <c r="Q31" s="28">
        <f t="shared" si="1"/>
        <v>2024</v>
      </c>
      <c r="R31" s="30" t="str">
        <f t="shared" si="2"/>
        <v>Normal</v>
      </c>
      <c r="S31" s="31">
        <f t="shared" si="3"/>
        <v>11919.769999999999</v>
      </c>
    </row>
    <row r="32" spans="1:20" ht="15.75" customHeight="1" x14ac:dyDescent="0.3">
      <c r="A32" s="5" t="s">
        <v>127</v>
      </c>
      <c r="B32" s="6">
        <v>45427</v>
      </c>
      <c r="C32" s="5" t="s">
        <v>57</v>
      </c>
      <c r="D32" s="5" t="s">
        <v>58</v>
      </c>
      <c r="E32" s="5" t="s">
        <v>128</v>
      </c>
      <c r="F32" s="5" t="s">
        <v>129</v>
      </c>
      <c r="G32" s="5" t="s">
        <v>48</v>
      </c>
      <c r="H32" s="5">
        <v>5</v>
      </c>
      <c r="I32" s="5">
        <v>199.99</v>
      </c>
      <c r="J32" s="5" t="s">
        <v>22</v>
      </c>
      <c r="K32" s="5" t="s">
        <v>37</v>
      </c>
      <c r="L32" s="5" t="s">
        <v>38</v>
      </c>
      <c r="M32" s="6">
        <v>44412</v>
      </c>
      <c r="N32" s="5">
        <v>999.95</v>
      </c>
      <c r="O32" s="28">
        <f t="shared" ca="1" si="0"/>
        <v>1685</v>
      </c>
      <c r="P32" s="28">
        <f>MONTH(Table1[[#This Row],[Date]])</f>
        <v>5</v>
      </c>
      <c r="Q32" s="28">
        <f t="shared" si="1"/>
        <v>2024</v>
      </c>
      <c r="R32" s="30" t="str">
        <f t="shared" si="2"/>
        <v>Normal</v>
      </c>
      <c r="S32" s="31">
        <f t="shared" si="3"/>
        <v>5089.7300000000005</v>
      </c>
    </row>
    <row r="33" spans="1:19" ht="15.75" customHeight="1" x14ac:dyDescent="0.3">
      <c r="A33" s="5" t="s">
        <v>130</v>
      </c>
      <c r="B33" s="6">
        <v>45428</v>
      </c>
      <c r="C33" s="5" t="s">
        <v>131</v>
      </c>
      <c r="D33" s="5" t="s">
        <v>132</v>
      </c>
      <c r="E33" s="5" t="s">
        <v>46</v>
      </c>
      <c r="F33" s="5" t="s">
        <v>47</v>
      </c>
      <c r="G33" s="5" t="s">
        <v>48</v>
      </c>
      <c r="H33" s="5">
        <v>2</v>
      </c>
      <c r="I33" s="5">
        <v>149.99</v>
      </c>
      <c r="J33" s="5" t="s">
        <v>28</v>
      </c>
      <c r="K33" s="5" t="s">
        <v>52</v>
      </c>
      <c r="L33" s="5" t="s">
        <v>24</v>
      </c>
      <c r="M33" s="6">
        <v>44823</v>
      </c>
      <c r="N33" s="5">
        <v>299.98</v>
      </c>
      <c r="O33" s="28">
        <f t="shared" ca="1" si="0"/>
        <v>1274</v>
      </c>
      <c r="P33" s="28">
        <f>MONTH(Table1[[#This Row],[Date]])</f>
        <v>5</v>
      </c>
      <c r="Q33" s="28">
        <f t="shared" si="1"/>
        <v>2024</v>
      </c>
      <c r="R33" s="30" t="str">
        <f t="shared" si="2"/>
        <v>Normal</v>
      </c>
      <c r="S33" s="31">
        <f t="shared" si="3"/>
        <v>2039.8000000000002</v>
      </c>
    </row>
    <row r="34" spans="1:19" ht="15.75" customHeight="1" x14ac:dyDescent="0.3">
      <c r="A34" s="5" t="s">
        <v>133</v>
      </c>
      <c r="B34" s="6">
        <v>45430</v>
      </c>
      <c r="C34" s="5" t="s">
        <v>134</v>
      </c>
      <c r="D34" s="5" t="s">
        <v>135</v>
      </c>
      <c r="E34" s="5" t="s">
        <v>46</v>
      </c>
      <c r="F34" s="5" t="s">
        <v>47</v>
      </c>
      <c r="G34" s="5" t="s">
        <v>48</v>
      </c>
      <c r="H34" s="5">
        <v>3</v>
      </c>
      <c r="I34" s="5">
        <v>149.99</v>
      </c>
      <c r="J34" s="5" t="s">
        <v>28</v>
      </c>
      <c r="K34" s="5" t="s">
        <v>52</v>
      </c>
      <c r="L34" s="5" t="s">
        <v>29</v>
      </c>
      <c r="M34" s="6">
        <v>45068</v>
      </c>
      <c r="N34" s="5">
        <v>449.97</v>
      </c>
      <c r="O34" s="28">
        <f t="shared" ca="1" si="0"/>
        <v>1029</v>
      </c>
      <c r="P34" s="28">
        <f>MONTH(Table1[[#This Row],[Date]])</f>
        <v>5</v>
      </c>
      <c r="Q34" s="28">
        <f t="shared" si="1"/>
        <v>2024</v>
      </c>
      <c r="R34" s="30" t="str">
        <f t="shared" si="2"/>
        <v>Normal</v>
      </c>
      <c r="S34" s="31">
        <f t="shared" si="3"/>
        <v>1229.8800000000001</v>
      </c>
    </row>
    <row r="35" spans="1:19" ht="15.75" customHeight="1" x14ac:dyDescent="0.3">
      <c r="A35" s="5" t="s">
        <v>136</v>
      </c>
      <c r="B35" s="6">
        <v>45432</v>
      </c>
      <c r="C35" s="5" t="s">
        <v>31</v>
      </c>
      <c r="D35" s="5" t="s">
        <v>32</v>
      </c>
      <c r="E35" s="5" t="s">
        <v>63</v>
      </c>
      <c r="F35" s="5" t="s">
        <v>64</v>
      </c>
      <c r="G35" s="5" t="s">
        <v>21</v>
      </c>
      <c r="H35" s="5">
        <v>1</v>
      </c>
      <c r="I35" s="5">
        <v>899.99</v>
      </c>
      <c r="J35" s="5" t="s">
        <v>28</v>
      </c>
      <c r="K35" s="5" t="s">
        <v>52</v>
      </c>
      <c r="L35" s="5" t="s">
        <v>29</v>
      </c>
      <c r="M35" s="6">
        <v>44578</v>
      </c>
      <c r="N35" s="5">
        <v>899.99</v>
      </c>
      <c r="O35" s="28">
        <f t="shared" ca="1" si="0"/>
        <v>1519</v>
      </c>
      <c r="P35" s="28">
        <f>MONTH(Table1[[#This Row],[Date]])</f>
        <v>5</v>
      </c>
      <c r="Q35" s="28">
        <f t="shared" si="1"/>
        <v>2024</v>
      </c>
      <c r="R35" s="30" t="str">
        <f t="shared" si="2"/>
        <v>Normal</v>
      </c>
      <c r="S35" s="31">
        <f t="shared" si="3"/>
        <v>3259.87</v>
      </c>
    </row>
    <row r="36" spans="1:19" ht="15.75" customHeight="1" x14ac:dyDescent="0.3">
      <c r="A36" s="5" t="s">
        <v>137</v>
      </c>
      <c r="B36" s="6">
        <v>45434</v>
      </c>
      <c r="C36" s="5" t="s">
        <v>101</v>
      </c>
      <c r="D36" s="5" t="s">
        <v>102</v>
      </c>
      <c r="E36" s="5" t="s">
        <v>107</v>
      </c>
      <c r="F36" s="5" t="s">
        <v>108</v>
      </c>
      <c r="G36" s="5" t="s">
        <v>48</v>
      </c>
      <c r="H36" s="5">
        <v>3</v>
      </c>
      <c r="I36" s="5">
        <v>299.99</v>
      </c>
      <c r="J36" s="5" t="s">
        <v>28</v>
      </c>
      <c r="K36" s="5" t="s">
        <v>65</v>
      </c>
      <c r="L36" s="5" t="s">
        <v>24</v>
      </c>
      <c r="M36" s="6">
        <v>44824</v>
      </c>
      <c r="N36" s="5">
        <v>899.97</v>
      </c>
      <c r="O36" s="28">
        <f t="shared" ca="1" si="0"/>
        <v>1273</v>
      </c>
      <c r="P36" s="28">
        <f>MONTH(Table1[[#This Row],[Date]])</f>
        <v>5</v>
      </c>
      <c r="Q36" s="28">
        <f t="shared" si="1"/>
        <v>2024</v>
      </c>
      <c r="R36" s="30" t="str">
        <f t="shared" si="2"/>
        <v>Normal</v>
      </c>
      <c r="S36" s="31">
        <f t="shared" si="3"/>
        <v>9799.73</v>
      </c>
    </row>
    <row r="37" spans="1:19" ht="15.75" customHeight="1" x14ac:dyDescent="0.3">
      <c r="A37" s="5" t="s">
        <v>138</v>
      </c>
      <c r="B37" s="6">
        <v>45435</v>
      </c>
      <c r="C37" s="5" t="s">
        <v>131</v>
      </c>
      <c r="D37" s="5" t="s">
        <v>132</v>
      </c>
      <c r="E37" s="5" t="s">
        <v>116</v>
      </c>
      <c r="F37" s="5" t="s">
        <v>117</v>
      </c>
      <c r="G37" s="5" t="s">
        <v>35</v>
      </c>
      <c r="H37" s="5">
        <v>3</v>
      </c>
      <c r="I37" s="5">
        <v>79.989999999999995</v>
      </c>
      <c r="J37" s="5" t="s">
        <v>22</v>
      </c>
      <c r="K37" s="5" t="s">
        <v>37</v>
      </c>
      <c r="L37" s="5" t="s">
        <v>24</v>
      </c>
      <c r="M37" s="6">
        <v>45046</v>
      </c>
      <c r="N37" s="5">
        <v>239.97</v>
      </c>
      <c r="O37" s="28">
        <f t="shared" ca="1" si="0"/>
        <v>1051</v>
      </c>
      <c r="P37" s="28">
        <f>MONTH(Table1[[#This Row],[Date]])</f>
        <v>5</v>
      </c>
      <c r="Q37" s="28">
        <f t="shared" si="1"/>
        <v>2024</v>
      </c>
      <c r="R37" s="30" t="str">
        <f t="shared" si="2"/>
        <v>Normal</v>
      </c>
      <c r="S37" s="31">
        <f t="shared" si="3"/>
        <v>2039.8000000000002</v>
      </c>
    </row>
    <row r="38" spans="1:19" ht="15.75" customHeight="1" x14ac:dyDescent="0.3">
      <c r="A38" s="5" t="s">
        <v>139</v>
      </c>
      <c r="B38" s="6">
        <v>45438</v>
      </c>
      <c r="C38" s="5" t="s">
        <v>140</v>
      </c>
      <c r="D38" s="5" t="s">
        <v>141</v>
      </c>
      <c r="E38" s="5" t="s">
        <v>128</v>
      </c>
      <c r="F38" s="5" t="s">
        <v>129</v>
      </c>
      <c r="G38" s="5" t="s">
        <v>48</v>
      </c>
      <c r="H38" s="5">
        <v>3</v>
      </c>
      <c r="I38" s="5">
        <v>199.99</v>
      </c>
      <c r="J38" s="5" t="s">
        <v>28</v>
      </c>
      <c r="K38" s="5" t="s">
        <v>42</v>
      </c>
      <c r="L38" s="5" t="s">
        <v>29</v>
      </c>
      <c r="M38" s="6">
        <v>45292</v>
      </c>
      <c r="N38" s="5">
        <v>599.97</v>
      </c>
      <c r="O38" s="28">
        <f t="shared" ca="1" si="0"/>
        <v>805</v>
      </c>
      <c r="P38" s="28">
        <f>MONTH(Table1[[#This Row],[Date]])</f>
        <v>5</v>
      </c>
      <c r="Q38" s="28">
        <f t="shared" si="1"/>
        <v>2024</v>
      </c>
      <c r="R38" s="30" t="str">
        <f t="shared" si="2"/>
        <v>Normal</v>
      </c>
      <c r="S38" s="31">
        <f t="shared" si="3"/>
        <v>2649.83</v>
      </c>
    </row>
    <row r="39" spans="1:19" ht="15.75" customHeight="1" x14ac:dyDescent="0.3">
      <c r="A39" s="5" t="s">
        <v>142</v>
      </c>
      <c r="B39" s="6">
        <v>45440</v>
      </c>
      <c r="C39" s="5" t="s">
        <v>143</v>
      </c>
      <c r="D39" s="5" t="s">
        <v>144</v>
      </c>
      <c r="E39" s="5" t="s">
        <v>82</v>
      </c>
      <c r="F39" s="5" t="s">
        <v>83</v>
      </c>
      <c r="G39" s="5" t="s">
        <v>21</v>
      </c>
      <c r="H39" s="5">
        <v>5</v>
      </c>
      <c r="I39" s="5">
        <v>699.99</v>
      </c>
      <c r="J39" s="5" t="s">
        <v>36</v>
      </c>
      <c r="K39" s="5" t="s">
        <v>52</v>
      </c>
      <c r="L39" s="5" t="s">
        <v>38</v>
      </c>
      <c r="M39" s="6">
        <v>44407</v>
      </c>
      <c r="N39" s="5">
        <v>3499.95</v>
      </c>
      <c r="O39" s="28">
        <f t="shared" ca="1" si="0"/>
        <v>1690</v>
      </c>
      <c r="P39" s="28">
        <f>MONTH(Table1[[#This Row],[Date]])</f>
        <v>5</v>
      </c>
      <c r="Q39" s="28">
        <f t="shared" si="1"/>
        <v>2024</v>
      </c>
      <c r="R39" s="30" t="str">
        <f t="shared" si="2"/>
        <v>High Value</v>
      </c>
      <c r="S39" s="31">
        <f t="shared" si="3"/>
        <v>4739.8500000000004</v>
      </c>
    </row>
    <row r="40" spans="1:19" ht="15.75" customHeight="1" x14ac:dyDescent="0.3">
      <c r="A40" s="5" t="s">
        <v>145</v>
      </c>
      <c r="B40" s="6">
        <v>45441</v>
      </c>
      <c r="C40" s="5" t="s">
        <v>146</v>
      </c>
      <c r="D40" s="5" t="s">
        <v>147</v>
      </c>
      <c r="E40" s="5" t="s">
        <v>119</v>
      </c>
      <c r="F40" s="5" t="s">
        <v>120</v>
      </c>
      <c r="G40" s="5" t="s">
        <v>21</v>
      </c>
      <c r="H40" s="5">
        <v>3</v>
      </c>
      <c r="I40" s="5">
        <v>89.99</v>
      </c>
      <c r="J40" s="5" t="s">
        <v>36</v>
      </c>
      <c r="K40" s="5" t="s">
        <v>23</v>
      </c>
      <c r="L40" s="5" t="s">
        <v>29</v>
      </c>
      <c r="M40" s="6">
        <v>45120</v>
      </c>
      <c r="N40" s="5">
        <v>269.97000000000003</v>
      </c>
      <c r="O40" s="28">
        <f t="shared" ca="1" si="0"/>
        <v>977</v>
      </c>
      <c r="P40" s="28">
        <f>MONTH(Table1[[#This Row],[Date]])</f>
        <v>5</v>
      </c>
      <c r="Q40" s="28">
        <f t="shared" si="1"/>
        <v>2024</v>
      </c>
      <c r="R40" s="30" t="str">
        <f t="shared" si="2"/>
        <v>Normal</v>
      </c>
      <c r="S40" s="31">
        <f t="shared" si="3"/>
        <v>5519.8899999999994</v>
      </c>
    </row>
    <row r="41" spans="1:19" ht="15.75" customHeight="1" x14ac:dyDescent="0.3">
      <c r="A41" s="5" t="s">
        <v>148</v>
      </c>
      <c r="B41" s="6">
        <v>45443</v>
      </c>
      <c r="C41" s="5" t="s">
        <v>149</v>
      </c>
      <c r="D41" s="5" t="s">
        <v>150</v>
      </c>
      <c r="E41" s="5" t="s">
        <v>116</v>
      </c>
      <c r="F41" s="5" t="s">
        <v>117</v>
      </c>
      <c r="G41" s="5" t="s">
        <v>35</v>
      </c>
      <c r="H41" s="5">
        <v>1</v>
      </c>
      <c r="I41" s="5">
        <v>79.989999999999995</v>
      </c>
      <c r="J41" s="5" t="s">
        <v>22</v>
      </c>
      <c r="K41" s="5" t="s">
        <v>42</v>
      </c>
      <c r="L41" s="5" t="s">
        <v>38</v>
      </c>
      <c r="M41" s="6">
        <v>44917</v>
      </c>
      <c r="N41" s="5">
        <v>79.989999999999995</v>
      </c>
      <c r="O41" s="28">
        <f t="shared" ca="1" si="0"/>
        <v>1180</v>
      </c>
      <c r="P41" s="28">
        <f>MONTH(Table1[[#This Row],[Date]])</f>
        <v>5</v>
      </c>
      <c r="Q41" s="28">
        <f t="shared" si="1"/>
        <v>2024</v>
      </c>
      <c r="R41" s="30" t="str">
        <f t="shared" si="2"/>
        <v>Normal</v>
      </c>
      <c r="S41" s="31">
        <f t="shared" si="3"/>
        <v>7309.7999999999993</v>
      </c>
    </row>
    <row r="42" spans="1:19" ht="15.75" customHeight="1" x14ac:dyDescent="0.3">
      <c r="A42" s="5" t="s">
        <v>151</v>
      </c>
      <c r="B42" s="6">
        <v>45444</v>
      </c>
      <c r="C42" s="5" t="s">
        <v>152</v>
      </c>
      <c r="D42" s="5" t="s">
        <v>153</v>
      </c>
      <c r="E42" s="5" t="s">
        <v>33</v>
      </c>
      <c r="F42" s="5" t="s">
        <v>34</v>
      </c>
      <c r="G42" s="5" t="s">
        <v>35</v>
      </c>
      <c r="H42" s="5">
        <v>2</v>
      </c>
      <c r="I42" s="5">
        <v>59.99</v>
      </c>
      <c r="J42" s="5" t="s">
        <v>22</v>
      </c>
      <c r="K42" s="5" t="s">
        <v>52</v>
      </c>
      <c r="L42" s="5" t="s">
        <v>24</v>
      </c>
      <c r="M42" s="6">
        <v>45390</v>
      </c>
      <c r="N42" s="5">
        <v>119.98</v>
      </c>
      <c r="O42" s="28">
        <f t="shared" ca="1" si="0"/>
        <v>707</v>
      </c>
      <c r="P42" s="28">
        <f>MONTH(Table1[[#This Row],[Date]])</f>
        <v>6</v>
      </c>
      <c r="Q42" s="28">
        <f t="shared" si="1"/>
        <v>2024</v>
      </c>
      <c r="R42" s="30" t="str">
        <f t="shared" si="2"/>
        <v>Normal</v>
      </c>
      <c r="S42" s="31">
        <f t="shared" si="3"/>
        <v>5619.869999999999</v>
      </c>
    </row>
    <row r="43" spans="1:19" ht="15.75" customHeight="1" x14ac:dyDescent="0.3">
      <c r="A43" s="5" t="s">
        <v>154</v>
      </c>
      <c r="B43" s="6">
        <v>45444</v>
      </c>
      <c r="C43" s="5" t="s">
        <v>57</v>
      </c>
      <c r="D43" s="5" t="s">
        <v>58</v>
      </c>
      <c r="E43" s="5" t="s">
        <v>119</v>
      </c>
      <c r="F43" s="5" t="s">
        <v>120</v>
      </c>
      <c r="G43" s="5" t="s">
        <v>21</v>
      </c>
      <c r="H43" s="5">
        <v>1</v>
      </c>
      <c r="I43" s="5">
        <v>89.99</v>
      </c>
      <c r="J43" s="5" t="s">
        <v>22</v>
      </c>
      <c r="K43" s="5" t="s">
        <v>42</v>
      </c>
      <c r="L43" s="5" t="s">
        <v>24</v>
      </c>
      <c r="M43" s="6">
        <v>45141</v>
      </c>
      <c r="N43" s="5">
        <v>89.99</v>
      </c>
      <c r="O43" s="28">
        <f t="shared" ca="1" si="0"/>
        <v>956</v>
      </c>
      <c r="P43" s="28">
        <f>MONTH(Table1[[#This Row],[Date]])</f>
        <v>6</v>
      </c>
      <c r="Q43" s="28">
        <f t="shared" si="1"/>
        <v>2024</v>
      </c>
      <c r="R43" s="30" t="str">
        <f t="shared" si="2"/>
        <v>Normal</v>
      </c>
      <c r="S43" s="31">
        <f t="shared" si="3"/>
        <v>5089.7300000000005</v>
      </c>
    </row>
    <row r="44" spans="1:19" ht="15.75" customHeight="1" x14ac:dyDescent="0.3">
      <c r="A44" s="5" t="s">
        <v>155</v>
      </c>
      <c r="B44" s="6">
        <v>45446</v>
      </c>
      <c r="C44" s="5" t="s">
        <v>156</v>
      </c>
      <c r="D44" s="5" t="s">
        <v>157</v>
      </c>
      <c r="E44" s="5" t="s">
        <v>119</v>
      </c>
      <c r="F44" s="5" t="s">
        <v>120</v>
      </c>
      <c r="G44" s="5" t="s">
        <v>21</v>
      </c>
      <c r="H44" s="5">
        <v>5</v>
      </c>
      <c r="I44" s="5">
        <v>89.99</v>
      </c>
      <c r="J44" s="5" t="s">
        <v>28</v>
      </c>
      <c r="K44" s="5" t="s">
        <v>65</v>
      </c>
      <c r="L44" s="5" t="s">
        <v>38</v>
      </c>
      <c r="M44" s="6">
        <v>44587</v>
      </c>
      <c r="N44" s="5">
        <v>449.95</v>
      </c>
      <c r="O44" s="28">
        <f t="shared" ca="1" si="0"/>
        <v>1510</v>
      </c>
      <c r="P44" s="28">
        <f>MONTH(Table1[[#This Row],[Date]])</f>
        <v>6</v>
      </c>
      <c r="Q44" s="28">
        <f t="shared" si="1"/>
        <v>2024</v>
      </c>
      <c r="R44" s="30" t="str">
        <f t="shared" si="2"/>
        <v>Normal</v>
      </c>
      <c r="S44" s="31">
        <f t="shared" si="3"/>
        <v>5499.8099999999995</v>
      </c>
    </row>
    <row r="45" spans="1:19" ht="15.75" customHeight="1" x14ac:dyDescent="0.3">
      <c r="A45" s="5" t="s">
        <v>158</v>
      </c>
      <c r="B45" s="6">
        <v>45449</v>
      </c>
      <c r="C45" s="5" t="s">
        <v>26</v>
      </c>
      <c r="D45" s="5" t="s">
        <v>27</v>
      </c>
      <c r="E45" s="5" t="s">
        <v>19</v>
      </c>
      <c r="F45" s="5" t="s">
        <v>20</v>
      </c>
      <c r="G45" s="5" t="s">
        <v>21</v>
      </c>
      <c r="H45" s="5">
        <v>5</v>
      </c>
      <c r="I45" s="5">
        <v>249.99</v>
      </c>
      <c r="J45" s="5" t="s">
        <v>28</v>
      </c>
      <c r="K45" s="5" t="s">
        <v>65</v>
      </c>
      <c r="L45" s="5" t="s">
        <v>38</v>
      </c>
      <c r="M45" s="6">
        <v>44707</v>
      </c>
      <c r="N45" s="5">
        <v>1249.95</v>
      </c>
      <c r="O45" s="28">
        <f t="shared" ca="1" si="0"/>
        <v>1390</v>
      </c>
      <c r="P45" s="28">
        <f>MONTH(Table1[[#This Row],[Date]])</f>
        <v>6</v>
      </c>
      <c r="Q45" s="28">
        <f t="shared" si="1"/>
        <v>2024</v>
      </c>
      <c r="R45" s="30" t="str">
        <f t="shared" si="2"/>
        <v>High Value</v>
      </c>
      <c r="S45" s="31">
        <f t="shared" si="3"/>
        <v>6949.84</v>
      </c>
    </row>
    <row r="46" spans="1:19" ht="15.75" customHeight="1" x14ac:dyDescent="0.3">
      <c r="A46" s="5" t="s">
        <v>159</v>
      </c>
      <c r="B46" s="6">
        <v>45449</v>
      </c>
      <c r="C46" s="5" t="s">
        <v>160</v>
      </c>
      <c r="D46" s="5" t="s">
        <v>161</v>
      </c>
      <c r="E46" s="5" t="s">
        <v>119</v>
      </c>
      <c r="F46" s="5" t="s">
        <v>120</v>
      </c>
      <c r="G46" s="5" t="s">
        <v>21</v>
      </c>
      <c r="H46" s="5">
        <v>1</v>
      </c>
      <c r="I46" s="5">
        <v>89.99</v>
      </c>
      <c r="J46" s="5" t="s">
        <v>28</v>
      </c>
      <c r="K46" s="5" t="s">
        <v>37</v>
      </c>
      <c r="L46" s="5" t="s">
        <v>38</v>
      </c>
      <c r="M46" s="6">
        <v>44582</v>
      </c>
      <c r="N46" s="5">
        <v>89.99</v>
      </c>
      <c r="O46" s="28">
        <f t="shared" ca="1" si="0"/>
        <v>1515</v>
      </c>
      <c r="P46" s="28">
        <f>MONTH(Table1[[#This Row],[Date]])</f>
        <v>6</v>
      </c>
      <c r="Q46" s="28">
        <f t="shared" si="1"/>
        <v>2024</v>
      </c>
      <c r="R46" s="30" t="str">
        <f t="shared" si="2"/>
        <v>Normal</v>
      </c>
      <c r="S46" s="31">
        <f t="shared" si="3"/>
        <v>5649.84</v>
      </c>
    </row>
    <row r="47" spans="1:19" ht="15.75" customHeight="1" x14ac:dyDescent="0.3">
      <c r="A47" s="5" t="s">
        <v>162</v>
      </c>
      <c r="B47" s="6">
        <v>45450</v>
      </c>
      <c r="C47" s="5" t="s">
        <v>44</v>
      </c>
      <c r="D47" s="5" t="s">
        <v>45</v>
      </c>
      <c r="E47" s="5" t="s">
        <v>46</v>
      </c>
      <c r="F47" s="5" t="s">
        <v>47</v>
      </c>
      <c r="G47" s="5" t="s">
        <v>48</v>
      </c>
      <c r="H47" s="5">
        <v>2</v>
      </c>
      <c r="I47" s="5">
        <v>149.99</v>
      </c>
      <c r="J47" s="5" t="s">
        <v>22</v>
      </c>
      <c r="K47" s="5" t="s">
        <v>65</v>
      </c>
      <c r="L47" s="5" t="s">
        <v>29</v>
      </c>
      <c r="M47" s="6">
        <v>44645</v>
      </c>
      <c r="N47" s="5">
        <v>299.98</v>
      </c>
      <c r="O47" s="28">
        <f t="shared" ca="1" si="0"/>
        <v>1452</v>
      </c>
      <c r="P47" s="28">
        <f>MONTH(Table1[[#This Row],[Date]])</f>
        <v>6</v>
      </c>
      <c r="Q47" s="28">
        <f t="shared" si="1"/>
        <v>2024</v>
      </c>
      <c r="R47" s="30" t="str">
        <f t="shared" si="2"/>
        <v>Normal</v>
      </c>
      <c r="S47" s="31">
        <f t="shared" si="3"/>
        <v>6169.7400000000007</v>
      </c>
    </row>
    <row r="48" spans="1:19" ht="15.75" customHeight="1" x14ac:dyDescent="0.3">
      <c r="A48" s="5" t="s">
        <v>163</v>
      </c>
      <c r="B48" s="6">
        <v>45452</v>
      </c>
      <c r="C48" s="5" t="s">
        <v>164</v>
      </c>
      <c r="D48" s="5" t="s">
        <v>165</v>
      </c>
      <c r="E48" s="5" t="s">
        <v>33</v>
      </c>
      <c r="F48" s="5" t="s">
        <v>34</v>
      </c>
      <c r="G48" s="5" t="s">
        <v>35</v>
      </c>
      <c r="H48" s="5">
        <v>4</v>
      </c>
      <c r="I48" s="5">
        <v>59.99</v>
      </c>
      <c r="J48" s="5" t="s">
        <v>22</v>
      </c>
      <c r="K48" s="5" t="s">
        <v>65</v>
      </c>
      <c r="L48" s="5" t="s">
        <v>38</v>
      </c>
      <c r="M48" s="6">
        <v>44435</v>
      </c>
      <c r="N48" s="5">
        <v>239.96</v>
      </c>
      <c r="O48" s="28">
        <f t="shared" ca="1" si="0"/>
        <v>1662</v>
      </c>
      <c r="P48" s="28">
        <f>MONTH(Table1[[#This Row],[Date]])</f>
        <v>6</v>
      </c>
      <c r="Q48" s="28">
        <f t="shared" si="1"/>
        <v>2024</v>
      </c>
      <c r="R48" s="30" t="str">
        <f t="shared" si="2"/>
        <v>Normal</v>
      </c>
      <c r="S48" s="31">
        <f t="shared" si="3"/>
        <v>239.96</v>
      </c>
    </row>
    <row r="49" spans="1:19" ht="15.75" customHeight="1" x14ac:dyDescent="0.3">
      <c r="A49" s="5" t="s">
        <v>166</v>
      </c>
      <c r="B49" s="6">
        <v>45456</v>
      </c>
      <c r="C49" s="5" t="s">
        <v>131</v>
      </c>
      <c r="D49" s="5" t="s">
        <v>132</v>
      </c>
      <c r="E49" s="5" t="s">
        <v>119</v>
      </c>
      <c r="F49" s="5" t="s">
        <v>120</v>
      </c>
      <c r="G49" s="5" t="s">
        <v>21</v>
      </c>
      <c r="H49" s="5">
        <v>5</v>
      </c>
      <c r="I49" s="5">
        <v>89.99</v>
      </c>
      <c r="J49" s="5" t="s">
        <v>22</v>
      </c>
      <c r="K49" s="5" t="s">
        <v>23</v>
      </c>
      <c r="L49" s="5" t="s">
        <v>29</v>
      </c>
      <c r="M49" s="6">
        <v>44579</v>
      </c>
      <c r="N49" s="5">
        <v>449.95</v>
      </c>
      <c r="O49" s="28">
        <f t="shared" ca="1" si="0"/>
        <v>1518</v>
      </c>
      <c r="P49" s="28">
        <f>MONTH(Table1[[#This Row],[Date]])</f>
        <v>6</v>
      </c>
      <c r="Q49" s="28">
        <f t="shared" si="1"/>
        <v>2024</v>
      </c>
      <c r="R49" s="30" t="str">
        <f t="shared" si="2"/>
        <v>Normal</v>
      </c>
      <c r="S49" s="31">
        <f t="shared" si="3"/>
        <v>2039.8000000000002</v>
      </c>
    </row>
    <row r="50" spans="1:19" ht="15.75" customHeight="1" x14ac:dyDescent="0.3">
      <c r="A50" s="5" t="s">
        <v>167</v>
      </c>
      <c r="B50" s="6">
        <v>45459</v>
      </c>
      <c r="C50" s="5" t="s">
        <v>101</v>
      </c>
      <c r="D50" s="5" t="s">
        <v>102</v>
      </c>
      <c r="E50" s="5" t="s">
        <v>119</v>
      </c>
      <c r="F50" s="5" t="s">
        <v>120</v>
      </c>
      <c r="G50" s="5" t="s">
        <v>21</v>
      </c>
      <c r="H50" s="5">
        <v>2</v>
      </c>
      <c r="I50" s="5">
        <v>89.99</v>
      </c>
      <c r="J50" s="5" t="s">
        <v>28</v>
      </c>
      <c r="K50" s="5" t="s">
        <v>37</v>
      </c>
      <c r="L50" s="5" t="s">
        <v>29</v>
      </c>
      <c r="M50" s="6">
        <v>44471</v>
      </c>
      <c r="N50" s="5">
        <v>179.98</v>
      </c>
      <c r="O50" s="28">
        <f t="shared" ca="1" si="0"/>
        <v>1626</v>
      </c>
      <c r="P50" s="28">
        <f>MONTH(Table1[[#This Row],[Date]])</f>
        <v>6</v>
      </c>
      <c r="Q50" s="28">
        <f t="shared" si="1"/>
        <v>2024</v>
      </c>
      <c r="R50" s="30" t="str">
        <f t="shared" si="2"/>
        <v>Normal</v>
      </c>
      <c r="S50" s="31">
        <f t="shared" si="3"/>
        <v>9799.73</v>
      </c>
    </row>
    <row r="51" spans="1:19" ht="15.75" customHeight="1" x14ac:dyDescent="0.3">
      <c r="A51" s="5" t="s">
        <v>168</v>
      </c>
      <c r="B51" s="6">
        <v>45459</v>
      </c>
      <c r="C51" s="5" t="s">
        <v>17</v>
      </c>
      <c r="D51" s="5" t="s">
        <v>18</v>
      </c>
      <c r="E51" s="5" t="s">
        <v>63</v>
      </c>
      <c r="F51" s="5" t="s">
        <v>64</v>
      </c>
      <c r="G51" s="5" t="s">
        <v>21</v>
      </c>
      <c r="H51" s="5">
        <v>5</v>
      </c>
      <c r="I51" s="5">
        <v>899.99</v>
      </c>
      <c r="J51" s="5" t="s">
        <v>28</v>
      </c>
      <c r="K51" s="5" t="s">
        <v>37</v>
      </c>
      <c r="L51" s="5" t="s">
        <v>38</v>
      </c>
      <c r="M51" s="6">
        <v>44974</v>
      </c>
      <c r="N51" s="5">
        <v>4499.95</v>
      </c>
      <c r="O51" s="28">
        <f t="shared" ca="1" si="0"/>
        <v>1123</v>
      </c>
      <c r="P51" s="28">
        <f>MONTH(Table1[[#This Row],[Date]])</f>
        <v>6</v>
      </c>
      <c r="Q51" s="28">
        <f t="shared" si="1"/>
        <v>2024</v>
      </c>
      <c r="R51" s="30" t="str">
        <f t="shared" si="2"/>
        <v>High Value</v>
      </c>
      <c r="S51" s="31">
        <f t="shared" si="3"/>
        <v>8309.739999999998</v>
      </c>
    </row>
    <row r="52" spans="1:19" ht="15.75" customHeight="1" x14ac:dyDescent="0.3">
      <c r="A52" s="5" t="s">
        <v>169</v>
      </c>
      <c r="B52" s="6">
        <v>45459</v>
      </c>
      <c r="C52" s="5" t="s">
        <v>125</v>
      </c>
      <c r="D52" s="5" t="s">
        <v>126</v>
      </c>
      <c r="E52" s="5" t="s">
        <v>63</v>
      </c>
      <c r="F52" s="5" t="s">
        <v>64</v>
      </c>
      <c r="G52" s="5" t="s">
        <v>21</v>
      </c>
      <c r="H52" s="5">
        <v>5</v>
      </c>
      <c r="I52" s="5">
        <v>899.99</v>
      </c>
      <c r="J52" s="5" t="s">
        <v>36</v>
      </c>
      <c r="K52" s="5" t="s">
        <v>65</v>
      </c>
      <c r="L52" s="5" t="s">
        <v>29</v>
      </c>
      <c r="M52" s="6">
        <v>45278</v>
      </c>
      <c r="N52" s="5">
        <v>4499.95</v>
      </c>
      <c r="O52" s="28">
        <f t="shared" ca="1" si="0"/>
        <v>819</v>
      </c>
      <c r="P52" s="28">
        <f>MONTH(Table1[[#This Row],[Date]])</f>
        <v>6</v>
      </c>
      <c r="Q52" s="28">
        <f t="shared" si="1"/>
        <v>2024</v>
      </c>
      <c r="R52" s="30" t="str">
        <f t="shared" si="2"/>
        <v>High Value</v>
      </c>
      <c r="S52" s="31">
        <f t="shared" si="3"/>
        <v>11919.769999999999</v>
      </c>
    </row>
    <row r="53" spans="1:19" ht="15.75" customHeight="1" x14ac:dyDescent="0.3">
      <c r="A53" s="5" t="s">
        <v>170</v>
      </c>
      <c r="B53" s="6">
        <v>45460</v>
      </c>
      <c r="C53" s="5" t="s">
        <v>160</v>
      </c>
      <c r="D53" s="5" t="s">
        <v>161</v>
      </c>
      <c r="E53" s="5" t="s">
        <v>33</v>
      </c>
      <c r="F53" s="5" t="s">
        <v>34</v>
      </c>
      <c r="G53" s="5" t="s">
        <v>35</v>
      </c>
      <c r="H53" s="5">
        <v>1</v>
      </c>
      <c r="I53" s="5">
        <v>59.99</v>
      </c>
      <c r="J53" s="5" t="s">
        <v>59</v>
      </c>
      <c r="K53" s="5" t="s">
        <v>52</v>
      </c>
      <c r="L53" s="5" t="s">
        <v>29</v>
      </c>
      <c r="M53" s="6">
        <v>45190</v>
      </c>
      <c r="N53" s="5">
        <v>59.99</v>
      </c>
      <c r="O53" s="28">
        <f t="shared" ca="1" si="0"/>
        <v>907</v>
      </c>
      <c r="P53" s="28">
        <f>MONTH(Table1[[#This Row],[Date]])</f>
        <v>6</v>
      </c>
      <c r="Q53" s="28">
        <f t="shared" si="1"/>
        <v>2024</v>
      </c>
      <c r="R53" s="30" t="str">
        <f t="shared" si="2"/>
        <v>Normal</v>
      </c>
      <c r="S53" s="31">
        <f t="shared" si="3"/>
        <v>5649.84</v>
      </c>
    </row>
    <row r="54" spans="1:19" ht="15.75" customHeight="1" x14ac:dyDescent="0.3">
      <c r="A54" s="5" t="s">
        <v>171</v>
      </c>
      <c r="B54" s="6">
        <v>45460</v>
      </c>
      <c r="C54" s="5" t="s">
        <v>143</v>
      </c>
      <c r="D54" s="5" t="s">
        <v>144</v>
      </c>
      <c r="E54" s="5" t="s">
        <v>107</v>
      </c>
      <c r="F54" s="5" t="s">
        <v>108</v>
      </c>
      <c r="G54" s="5" t="s">
        <v>48</v>
      </c>
      <c r="H54" s="5">
        <v>2</v>
      </c>
      <c r="I54" s="5">
        <v>299.99</v>
      </c>
      <c r="J54" s="5" t="s">
        <v>59</v>
      </c>
      <c r="K54" s="5" t="s">
        <v>65</v>
      </c>
      <c r="L54" s="5" t="s">
        <v>38</v>
      </c>
      <c r="M54" s="6">
        <v>45253</v>
      </c>
      <c r="N54" s="5">
        <v>599.98</v>
      </c>
      <c r="O54" s="28">
        <f t="shared" ca="1" si="0"/>
        <v>844</v>
      </c>
      <c r="P54" s="28">
        <f>MONTH(Table1[[#This Row],[Date]])</f>
        <v>6</v>
      </c>
      <c r="Q54" s="28">
        <f t="shared" si="1"/>
        <v>2024</v>
      </c>
      <c r="R54" s="30" t="str">
        <f t="shared" si="2"/>
        <v>Normal</v>
      </c>
      <c r="S54" s="31">
        <f t="shared" si="3"/>
        <v>4739.8500000000004</v>
      </c>
    </row>
    <row r="55" spans="1:19" ht="15.75" customHeight="1" x14ac:dyDescent="0.3">
      <c r="A55" s="5" t="s">
        <v>172</v>
      </c>
      <c r="B55" s="6">
        <v>45468</v>
      </c>
      <c r="C55" s="5" t="s">
        <v>173</v>
      </c>
      <c r="D55" s="5" t="s">
        <v>174</v>
      </c>
      <c r="E55" s="5" t="s">
        <v>119</v>
      </c>
      <c r="F55" s="5" t="s">
        <v>120</v>
      </c>
      <c r="G55" s="5" t="s">
        <v>21</v>
      </c>
      <c r="H55" s="5">
        <v>4</v>
      </c>
      <c r="I55" s="5">
        <v>89.99</v>
      </c>
      <c r="J55" s="5" t="s">
        <v>59</v>
      </c>
      <c r="K55" s="5" t="s">
        <v>37</v>
      </c>
      <c r="L55" s="5" t="s">
        <v>24</v>
      </c>
      <c r="M55" s="6">
        <v>45281</v>
      </c>
      <c r="N55" s="5">
        <v>359.96</v>
      </c>
      <c r="O55" s="28">
        <f t="shared" ca="1" si="0"/>
        <v>816</v>
      </c>
      <c r="P55" s="28">
        <f>MONTH(Table1[[#This Row],[Date]])</f>
        <v>6</v>
      </c>
      <c r="Q55" s="28">
        <f t="shared" si="1"/>
        <v>2024</v>
      </c>
      <c r="R55" s="30" t="str">
        <f t="shared" si="2"/>
        <v>Normal</v>
      </c>
      <c r="S55" s="31">
        <f t="shared" si="3"/>
        <v>3669.8500000000004</v>
      </c>
    </row>
    <row r="56" spans="1:19" ht="15.75" customHeight="1" x14ac:dyDescent="0.3">
      <c r="A56" s="5" t="s">
        <v>175</v>
      </c>
      <c r="B56" s="6">
        <v>45469</v>
      </c>
      <c r="C56" s="5" t="s">
        <v>31</v>
      </c>
      <c r="D56" s="5" t="s">
        <v>32</v>
      </c>
      <c r="E56" s="5" t="s">
        <v>116</v>
      </c>
      <c r="F56" s="5" t="s">
        <v>117</v>
      </c>
      <c r="G56" s="5" t="s">
        <v>35</v>
      </c>
      <c r="H56" s="5">
        <v>1</v>
      </c>
      <c r="I56" s="5">
        <v>79.989999999999995</v>
      </c>
      <c r="J56" s="5" t="s">
        <v>36</v>
      </c>
      <c r="K56" s="5" t="s">
        <v>23</v>
      </c>
      <c r="L56" s="5" t="s">
        <v>29</v>
      </c>
      <c r="M56" s="6">
        <v>45352</v>
      </c>
      <c r="N56" s="5">
        <v>79.989999999999995</v>
      </c>
      <c r="O56" s="28">
        <f t="shared" ca="1" si="0"/>
        <v>745</v>
      </c>
      <c r="P56" s="28">
        <f>MONTH(Table1[[#This Row],[Date]])</f>
        <v>6</v>
      </c>
      <c r="Q56" s="28">
        <f t="shared" si="1"/>
        <v>2024</v>
      </c>
      <c r="R56" s="30" t="str">
        <f t="shared" si="2"/>
        <v>Normal</v>
      </c>
      <c r="S56" s="31">
        <f t="shared" si="3"/>
        <v>3259.87</v>
      </c>
    </row>
    <row r="57" spans="1:19" ht="15.75" customHeight="1" x14ac:dyDescent="0.3">
      <c r="A57" s="5" t="s">
        <v>176</v>
      </c>
      <c r="B57" s="6">
        <v>45469</v>
      </c>
      <c r="C57" s="5" t="s">
        <v>61</v>
      </c>
      <c r="D57" s="5" t="s">
        <v>62</v>
      </c>
      <c r="E57" s="5" t="s">
        <v>119</v>
      </c>
      <c r="F57" s="5" t="s">
        <v>120</v>
      </c>
      <c r="G57" s="5" t="s">
        <v>21</v>
      </c>
      <c r="H57" s="5">
        <v>2</v>
      </c>
      <c r="I57" s="5">
        <v>89.99</v>
      </c>
      <c r="J57" s="5" t="s">
        <v>22</v>
      </c>
      <c r="K57" s="5" t="s">
        <v>52</v>
      </c>
      <c r="L57" s="5" t="s">
        <v>24</v>
      </c>
      <c r="M57" s="6">
        <v>44438</v>
      </c>
      <c r="N57" s="5">
        <v>179.98</v>
      </c>
      <c r="O57" s="28">
        <f t="shared" ca="1" si="0"/>
        <v>1659</v>
      </c>
      <c r="P57" s="28">
        <f>MONTH(Table1[[#This Row],[Date]])</f>
        <v>6</v>
      </c>
      <c r="Q57" s="28">
        <f t="shared" si="1"/>
        <v>2024</v>
      </c>
      <c r="R57" s="30" t="str">
        <f t="shared" si="2"/>
        <v>Normal</v>
      </c>
      <c r="S57" s="31">
        <f t="shared" si="3"/>
        <v>3509.8999999999996</v>
      </c>
    </row>
    <row r="58" spans="1:19" ht="15.75" customHeight="1" x14ac:dyDescent="0.3">
      <c r="A58" s="5" t="s">
        <v>177</v>
      </c>
      <c r="B58" s="6">
        <v>45471</v>
      </c>
      <c r="C58" s="5" t="s">
        <v>40</v>
      </c>
      <c r="D58" s="5" t="s">
        <v>41</v>
      </c>
      <c r="E58" s="5" t="s">
        <v>82</v>
      </c>
      <c r="F58" s="5" t="s">
        <v>83</v>
      </c>
      <c r="G58" s="5" t="s">
        <v>21</v>
      </c>
      <c r="H58" s="5">
        <v>3</v>
      </c>
      <c r="I58" s="5">
        <v>699.99</v>
      </c>
      <c r="J58" s="5" t="s">
        <v>28</v>
      </c>
      <c r="K58" s="5" t="s">
        <v>65</v>
      </c>
      <c r="L58" s="5" t="s">
        <v>29</v>
      </c>
      <c r="M58" s="6">
        <v>45102</v>
      </c>
      <c r="N58" s="5">
        <v>2099.9699999999998</v>
      </c>
      <c r="O58" s="28">
        <f t="shared" ca="1" si="0"/>
        <v>995</v>
      </c>
      <c r="P58" s="28">
        <f>MONTH(Table1[[#This Row],[Date]])</f>
        <v>6</v>
      </c>
      <c r="Q58" s="28">
        <f t="shared" si="1"/>
        <v>2024</v>
      </c>
      <c r="R58" s="30" t="str">
        <f t="shared" si="2"/>
        <v>High Value</v>
      </c>
      <c r="S58" s="31">
        <f t="shared" si="3"/>
        <v>4309.8099999999995</v>
      </c>
    </row>
    <row r="59" spans="1:19" ht="15.75" customHeight="1" x14ac:dyDescent="0.3">
      <c r="A59" s="5" t="s">
        <v>178</v>
      </c>
      <c r="B59" s="6">
        <v>45471</v>
      </c>
      <c r="C59" s="5" t="s">
        <v>101</v>
      </c>
      <c r="D59" s="5" t="s">
        <v>102</v>
      </c>
      <c r="E59" s="5" t="s">
        <v>63</v>
      </c>
      <c r="F59" s="5" t="s">
        <v>64</v>
      </c>
      <c r="G59" s="5" t="s">
        <v>21</v>
      </c>
      <c r="H59" s="5">
        <v>4</v>
      </c>
      <c r="I59" s="5">
        <v>899.99</v>
      </c>
      <c r="J59" s="5" t="s">
        <v>28</v>
      </c>
      <c r="K59" s="5" t="s">
        <v>65</v>
      </c>
      <c r="L59" s="5" t="s">
        <v>29</v>
      </c>
      <c r="M59" s="6">
        <v>44993</v>
      </c>
      <c r="N59" s="5">
        <v>3599.96</v>
      </c>
      <c r="O59" s="28">
        <f t="shared" ca="1" si="0"/>
        <v>1104</v>
      </c>
      <c r="P59" s="28">
        <f>MONTH(Table1[[#This Row],[Date]])</f>
        <v>6</v>
      </c>
      <c r="Q59" s="28">
        <f t="shared" si="1"/>
        <v>2024</v>
      </c>
      <c r="R59" s="30" t="str">
        <f t="shared" si="2"/>
        <v>High Value</v>
      </c>
      <c r="S59" s="31">
        <f t="shared" si="3"/>
        <v>9799.73</v>
      </c>
    </row>
    <row r="60" spans="1:19" ht="15.75" customHeight="1" x14ac:dyDescent="0.3">
      <c r="A60" s="5" t="s">
        <v>179</v>
      </c>
      <c r="B60" s="6">
        <v>45472</v>
      </c>
      <c r="C60" s="5" t="s">
        <v>122</v>
      </c>
      <c r="D60" s="5" t="s">
        <v>123</v>
      </c>
      <c r="E60" s="5" t="s">
        <v>46</v>
      </c>
      <c r="F60" s="5" t="s">
        <v>47</v>
      </c>
      <c r="G60" s="5" t="s">
        <v>48</v>
      </c>
      <c r="H60" s="5">
        <v>1</v>
      </c>
      <c r="I60" s="5">
        <v>149.99</v>
      </c>
      <c r="J60" s="5" t="s">
        <v>36</v>
      </c>
      <c r="K60" s="5" t="s">
        <v>65</v>
      </c>
      <c r="L60" s="5" t="s">
        <v>24</v>
      </c>
      <c r="M60" s="6">
        <v>44851</v>
      </c>
      <c r="N60" s="5">
        <v>149.99</v>
      </c>
      <c r="O60" s="28">
        <f t="shared" ca="1" si="0"/>
        <v>1246</v>
      </c>
      <c r="P60" s="28">
        <f>MONTH(Table1[[#This Row],[Date]])</f>
        <v>6</v>
      </c>
      <c r="Q60" s="28">
        <f t="shared" si="1"/>
        <v>2024</v>
      </c>
      <c r="R60" s="30" t="str">
        <f t="shared" si="2"/>
        <v>Normal</v>
      </c>
      <c r="S60" s="31">
        <f t="shared" si="3"/>
        <v>6459.79</v>
      </c>
    </row>
    <row r="61" spans="1:19" ht="15.75" customHeight="1" x14ac:dyDescent="0.3">
      <c r="A61" s="5" t="s">
        <v>180</v>
      </c>
      <c r="B61" s="6">
        <v>45474</v>
      </c>
      <c r="C61" s="5" t="s">
        <v>134</v>
      </c>
      <c r="D61" s="5" t="s">
        <v>135</v>
      </c>
      <c r="E61" s="5" t="s">
        <v>119</v>
      </c>
      <c r="F61" s="5" t="s">
        <v>120</v>
      </c>
      <c r="G61" s="5" t="s">
        <v>21</v>
      </c>
      <c r="H61" s="5">
        <v>2</v>
      </c>
      <c r="I61" s="5">
        <v>89.99</v>
      </c>
      <c r="J61" s="5" t="s">
        <v>36</v>
      </c>
      <c r="K61" s="5" t="s">
        <v>23</v>
      </c>
      <c r="L61" s="5" t="s">
        <v>29</v>
      </c>
      <c r="M61" s="6">
        <v>45275</v>
      </c>
      <c r="N61" s="5">
        <v>179.98</v>
      </c>
      <c r="O61" s="28">
        <f t="shared" ca="1" si="0"/>
        <v>822</v>
      </c>
      <c r="P61" s="28">
        <f>MONTH(Table1[[#This Row],[Date]])</f>
        <v>7</v>
      </c>
      <c r="Q61" s="28">
        <f t="shared" si="1"/>
        <v>2024</v>
      </c>
      <c r="R61" s="30" t="str">
        <f t="shared" si="2"/>
        <v>Normal</v>
      </c>
      <c r="S61" s="31">
        <f t="shared" si="3"/>
        <v>1229.8800000000001</v>
      </c>
    </row>
    <row r="62" spans="1:19" ht="15.75" customHeight="1" x14ac:dyDescent="0.3">
      <c r="A62" s="5" t="s">
        <v>181</v>
      </c>
      <c r="B62" s="6">
        <v>45475</v>
      </c>
      <c r="C62" s="5" t="s">
        <v>57</v>
      </c>
      <c r="D62" s="5" t="s">
        <v>58</v>
      </c>
      <c r="E62" s="5" t="s">
        <v>119</v>
      </c>
      <c r="F62" s="5" t="s">
        <v>120</v>
      </c>
      <c r="G62" s="5" t="s">
        <v>21</v>
      </c>
      <c r="H62" s="5">
        <v>1</v>
      </c>
      <c r="I62" s="5">
        <v>89.99</v>
      </c>
      <c r="J62" s="5" t="s">
        <v>36</v>
      </c>
      <c r="K62" s="5" t="s">
        <v>52</v>
      </c>
      <c r="L62" s="5" t="s">
        <v>38</v>
      </c>
      <c r="M62" s="6">
        <v>44802</v>
      </c>
      <c r="N62" s="5">
        <v>89.99</v>
      </c>
      <c r="O62" s="28">
        <f t="shared" ca="1" si="0"/>
        <v>1295</v>
      </c>
      <c r="P62" s="28">
        <f>MONTH(Table1[[#This Row],[Date]])</f>
        <v>7</v>
      </c>
      <c r="Q62" s="28">
        <f t="shared" si="1"/>
        <v>2024</v>
      </c>
      <c r="R62" s="30" t="str">
        <f t="shared" si="2"/>
        <v>Normal</v>
      </c>
      <c r="S62" s="31">
        <f t="shared" si="3"/>
        <v>5089.7300000000005</v>
      </c>
    </row>
    <row r="63" spans="1:19" ht="15.75" customHeight="1" x14ac:dyDescent="0.3">
      <c r="A63" s="5" t="s">
        <v>182</v>
      </c>
      <c r="B63" s="6">
        <v>45476</v>
      </c>
      <c r="C63" s="5" t="s">
        <v>70</v>
      </c>
      <c r="D63" s="5" t="s">
        <v>71</v>
      </c>
      <c r="E63" s="5" t="s">
        <v>119</v>
      </c>
      <c r="F63" s="5" t="s">
        <v>120</v>
      </c>
      <c r="G63" s="5" t="s">
        <v>21</v>
      </c>
      <c r="H63" s="5">
        <v>1</v>
      </c>
      <c r="I63" s="5">
        <v>89.99</v>
      </c>
      <c r="J63" s="5" t="s">
        <v>22</v>
      </c>
      <c r="K63" s="5" t="s">
        <v>37</v>
      </c>
      <c r="L63" s="5" t="s">
        <v>38</v>
      </c>
      <c r="M63" s="6">
        <v>44611</v>
      </c>
      <c r="N63" s="5">
        <v>89.99</v>
      </c>
      <c r="O63" s="28">
        <f t="shared" ca="1" si="0"/>
        <v>1486</v>
      </c>
      <c r="P63" s="28">
        <f>MONTH(Table1[[#This Row],[Date]])</f>
        <v>7</v>
      </c>
      <c r="Q63" s="28">
        <f t="shared" si="1"/>
        <v>2024</v>
      </c>
      <c r="R63" s="30" t="str">
        <f t="shared" si="2"/>
        <v>Normal</v>
      </c>
      <c r="S63" s="31">
        <f t="shared" si="3"/>
        <v>1979.89</v>
      </c>
    </row>
    <row r="64" spans="1:19" ht="15.75" customHeight="1" x14ac:dyDescent="0.3">
      <c r="A64" s="5" t="s">
        <v>183</v>
      </c>
      <c r="B64" s="6">
        <v>45476</v>
      </c>
      <c r="C64" s="5" t="s">
        <v>184</v>
      </c>
      <c r="D64" s="5" t="s">
        <v>185</v>
      </c>
      <c r="E64" s="5" t="s">
        <v>116</v>
      </c>
      <c r="F64" s="5" t="s">
        <v>117</v>
      </c>
      <c r="G64" s="5" t="s">
        <v>35</v>
      </c>
      <c r="H64" s="5">
        <v>5</v>
      </c>
      <c r="I64" s="5">
        <v>79.989999999999995</v>
      </c>
      <c r="J64" s="5" t="s">
        <v>59</v>
      </c>
      <c r="K64" s="5" t="s">
        <v>23</v>
      </c>
      <c r="L64" s="5" t="s">
        <v>24</v>
      </c>
      <c r="M64" s="6">
        <v>44981</v>
      </c>
      <c r="N64" s="5">
        <v>399.95</v>
      </c>
      <c r="O64" s="28">
        <f t="shared" ca="1" si="0"/>
        <v>1116</v>
      </c>
      <c r="P64" s="28">
        <f>MONTH(Table1[[#This Row],[Date]])</f>
        <v>7</v>
      </c>
      <c r="Q64" s="28">
        <f t="shared" si="1"/>
        <v>2024</v>
      </c>
      <c r="R64" s="30" t="str">
        <f t="shared" si="2"/>
        <v>Normal</v>
      </c>
      <c r="S64" s="31">
        <f t="shared" si="3"/>
        <v>1809.84</v>
      </c>
    </row>
    <row r="65" spans="1:19" ht="15.75" customHeight="1" x14ac:dyDescent="0.3">
      <c r="A65" s="5" t="s">
        <v>186</v>
      </c>
      <c r="B65" s="6">
        <v>45481</v>
      </c>
      <c r="C65" s="5" t="s">
        <v>187</v>
      </c>
      <c r="D65" s="5" t="s">
        <v>188</v>
      </c>
      <c r="E65" s="5" t="s">
        <v>46</v>
      </c>
      <c r="F65" s="5" t="s">
        <v>47</v>
      </c>
      <c r="G65" s="5" t="s">
        <v>48</v>
      </c>
      <c r="H65" s="5">
        <v>1</v>
      </c>
      <c r="I65" s="5">
        <v>149.99</v>
      </c>
      <c r="J65" s="5" t="s">
        <v>36</v>
      </c>
      <c r="K65" s="5" t="s">
        <v>42</v>
      </c>
      <c r="L65" s="5" t="s">
        <v>24</v>
      </c>
      <c r="M65" s="6">
        <v>44421</v>
      </c>
      <c r="N65" s="5">
        <v>149.99</v>
      </c>
      <c r="O65" s="28">
        <f t="shared" ca="1" si="0"/>
        <v>1676</v>
      </c>
      <c r="P65" s="28">
        <f>MONTH(Table1[[#This Row],[Date]])</f>
        <v>7</v>
      </c>
      <c r="Q65" s="28">
        <f t="shared" si="1"/>
        <v>2024</v>
      </c>
      <c r="R65" s="30" t="str">
        <f t="shared" si="2"/>
        <v>Normal</v>
      </c>
      <c r="S65" s="31">
        <f t="shared" si="3"/>
        <v>2099.88</v>
      </c>
    </row>
    <row r="66" spans="1:19" ht="15.75" customHeight="1" x14ac:dyDescent="0.3">
      <c r="A66" s="5" t="s">
        <v>189</v>
      </c>
      <c r="B66" s="6">
        <v>45481</v>
      </c>
      <c r="C66" s="5" t="s">
        <v>44</v>
      </c>
      <c r="D66" s="5" t="s">
        <v>45</v>
      </c>
      <c r="E66" s="5" t="s">
        <v>82</v>
      </c>
      <c r="F66" s="5" t="s">
        <v>83</v>
      </c>
      <c r="G66" s="5" t="s">
        <v>21</v>
      </c>
      <c r="H66" s="5">
        <v>2</v>
      </c>
      <c r="I66" s="5">
        <v>699.99</v>
      </c>
      <c r="J66" s="5" t="s">
        <v>36</v>
      </c>
      <c r="K66" s="5" t="s">
        <v>65</v>
      </c>
      <c r="L66" s="5" t="s">
        <v>29</v>
      </c>
      <c r="M66" s="6">
        <v>45389</v>
      </c>
      <c r="N66" s="5">
        <v>1399.98</v>
      </c>
      <c r="O66" s="28">
        <f t="shared" ca="1" si="0"/>
        <v>708</v>
      </c>
      <c r="P66" s="28">
        <f>MONTH(Table1[[#This Row],[Date]])</f>
        <v>7</v>
      </c>
      <c r="Q66" s="28">
        <f t="shared" si="1"/>
        <v>2024</v>
      </c>
      <c r="R66" s="30" t="str">
        <f t="shared" si="2"/>
        <v>High Value</v>
      </c>
      <c r="S66" s="31">
        <f t="shared" si="3"/>
        <v>6169.7400000000007</v>
      </c>
    </row>
    <row r="67" spans="1:19" ht="15.75" customHeight="1" x14ac:dyDescent="0.3">
      <c r="A67" s="5" t="s">
        <v>190</v>
      </c>
      <c r="B67" s="6">
        <v>45481</v>
      </c>
      <c r="C67" s="5" t="s">
        <v>98</v>
      </c>
      <c r="D67" s="5" t="s">
        <v>99</v>
      </c>
      <c r="E67" s="5" t="s">
        <v>119</v>
      </c>
      <c r="F67" s="5" t="s">
        <v>120</v>
      </c>
      <c r="G67" s="5" t="s">
        <v>21</v>
      </c>
      <c r="H67" s="5">
        <v>5</v>
      </c>
      <c r="I67" s="5">
        <v>89.99</v>
      </c>
      <c r="J67" s="5" t="s">
        <v>59</v>
      </c>
      <c r="K67" s="5" t="s">
        <v>42</v>
      </c>
      <c r="L67" s="5" t="s">
        <v>29</v>
      </c>
      <c r="M67" s="6">
        <v>45161</v>
      </c>
      <c r="N67" s="5">
        <v>449.95</v>
      </c>
      <c r="O67" s="28">
        <f t="shared" ref="O67:O130" ca="1" si="6">DATEDIF(M67,TODAY(),"D")</f>
        <v>936</v>
      </c>
      <c r="P67" s="28">
        <f>MONTH(Table1[[#This Row],[Date]])</f>
        <v>7</v>
      </c>
      <c r="Q67" s="28">
        <f t="shared" ref="Q67:Q130" si="7">YEAR(B67)</f>
        <v>2024</v>
      </c>
      <c r="R67" s="30" t="str">
        <f t="shared" ref="R67:R130" si="8">IF(N67&gt;=1000,"High Value","Normal")</f>
        <v>Normal</v>
      </c>
      <c r="S67" s="31">
        <f t="shared" ref="S67:S130" si="9">SUMIF(D:D,D67,N:N)</f>
        <v>10649.8</v>
      </c>
    </row>
    <row r="68" spans="1:19" ht="15.75" customHeight="1" x14ac:dyDescent="0.3">
      <c r="A68" s="5" t="s">
        <v>191</v>
      </c>
      <c r="B68" s="6">
        <v>45482</v>
      </c>
      <c r="C68" s="5" t="s">
        <v>173</v>
      </c>
      <c r="D68" s="5" t="s">
        <v>174</v>
      </c>
      <c r="E68" s="5" t="s">
        <v>33</v>
      </c>
      <c r="F68" s="5" t="s">
        <v>34</v>
      </c>
      <c r="G68" s="5" t="s">
        <v>35</v>
      </c>
      <c r="H68" s="5">
        <v>4</v>
      </c>
      <c r="I68" s="5">
        <v>59.99</v>
      </c>
      <c r="J68" s="5" t="s">
        <v>22</v>
      </c>
      <c r="K68" s="5" t="s">
        <v>37</v>
      </c>
      <c r="L68" s="5" t="s">
        <v>38</v>
      </c>
      <c r="M68" s="6">
        <v>44509</v>
      </c>
      <c r="N68" s="5">
        <v>239.96</v>
      </c>
      <c r="O68" s="28">
        <f t="shared" ca="1" si="6"/>
        <v>1588</v>
      </c>
      <c r="P68" s="28">
        <f>MONTH(Table1[[#This Row],[Date]])</f>
        <v>7</v>
      </c>
      <c r="Q68" s="28">
        <f t="shared" si="7"/>
        <v>2024</v>
      </c>
      <c r="R68" s="30" t="str">
        <f t="shared" si="8"/>
        <v>Normal</v>
      </c>
      <c r="S68" s="31">
        <f t="shared" si="9"/>
        <v>3669.8500000000004</v>
      </c>
    </row>
    <row r="69" spans="1:19" ht="15.75" customHeight="1" x14ac:dyDescent="0.3">
      <c r="A69" s="5" t="s">
        <v>192</v>
      </c>
      <c r="B69" s="6">
        <v>45484</v>
      </c>
      <c r="C69" s="5" t="s">
        <v>26</v>
      </c>
      <c r="D69" s="5" t="s">
        <v>27</v>
      </c>
      <c r="E69" s="5" t="s">
        <v>54</v>
      </c>
      <c r="F69" s="5" t="s">
        <v>55</v>
      </c>
      <c r="G69" s="5" t="s">
        <v>21</v>
      </c>
      <c r="H69" s="5">
        <v>1</v>
      </c>
      <c r="I69" s="5">
        <v>149.99</v>
      </c>
      <c r="J69" s="5" t="s">
        <v>22</v>
      </c>
      <c r="K69" s="5" t="s">
        <v>23</v>
      </c>
      <c r="L69" s="5" t="s">
        <v>38</v>
      </c>
      <c r="M69" s="6">
        <v>44909</v>
      </c>
      <c r="N69" s="5">
        <v>149.99</v>
      </c>
      <c r="O69" s="28">
        <f t="shared" ca="1" si="6"/>
        <v>1188</v>
      </c>
      <c r="P69" s="28">
        <f>MONTH(Table1[[#This Row],[Date]])</f>
        <v>7</v>
      </c>
      <c r="Q69" s="28">
        <f t="shared" si="7"/>
        <v>2024</v>
      </c>
      <c r="R69" s="30" t="str">
        <f t="shared" si="8"/>
        <v>Normal</v>
      </c>
      <c r="S69" s="31">
        <f t="shared" si="9"/>
        <v>6949.84</v>
      </c>
    </row>
    <row r="70" spans="1:19" ht="15.75" customHeight="1" x14ac:dyDescent="0.3">
      <c r="A70" s="5" t="s">
        <v>193</v>
      </c>
      <c r="B70" s="6">
        <v>45484</v>
      </c>
      <c r="C70" s="5" t="s">
        <v>194</v>
      </c>
      <c r="D70" s="5" t="s">
        <v>195</v>
      </c>
      <c r="E70" s="5" t="s">
        <v>107</v>
      </c>
      <c r="F70" s="5" t="s">
        <v>108</v>
      </c>
      <c r="G70" s="5" t="s">
        <v>48</v>
      </c>
      <c r="H70" s="5">
        <v>1</v>
      </c>
      <c r="I70" s="5">
        <v>299.99</v>
      </c>
      <c r="J70" s="5" t="s">
        <v>28</v>
      </c>
      <c r="K70" s="5" t="s">
        <v>42</v>
      </c>
      <c r="L70" s="5" t="s">
        <v>29</v>
      </c>
      <c r="M70" s="6">
        <v>44891</v>
      </c>
      <c r="N70" s="5">
        <v>299.99</v>
      </c>
      <c r="O70" s="28">
        <f t="shared" ca="1" si="6"/>
        <v>1206</v>
      </c>
      <c r="P70" s="28">
        <f>MONTH(Table1[[#This Row],[Date]])</f>
        <v>7</v>
      </c>
      <c r="Q70" s="28">
        <f t="shared" si="7"/>
        <v>2024</v>
      </c>
      <c r="R70" s="30" t="str">
        <f t="shared" si="8"/>
        <v>Normal</v>
      </c>
      <c r="S70" s="31">
        <f t="shared" si="9"/>
        <v>1479.91</v>
      </c>
    </row>
    <row r="71" spans="1:19" ht="15.75" customHeight="1" x14ac:dyDescent="0.3">
      <c r="A71" s="5" t="s">
        <v>196</v>
      </c>
      <c r="B71" s="6">
        <v>45487</v>
      </c>
      <c r="C71" s="5" t="s">
        <v>194</v>
      </c>
      <c r="D71" s="5" t="s">
        <v>195</v>
      </c>
      <c r="E71" s="5" t="s">
        <v>128</v>
      </c>
      <c r="F71" s="5" t="s">
        <v>129</v>
      </c>
      <c r="G71" s="5" t="s">
        <v>48</v>
      </c>
      <c r="H71" s="5">
        <v>2</v>
      </c>
      <c r="I71" s="5">
        <v>199.99</v>
      </c>
      <c r="J71" s="5" t="s">
        <v>22</v>
      </c>
      <c r="K71" s="5" t="s">
        <v>42</v>
      </c>
      <c r="L71" s="5" t="s">
        <v>24</v>
      </c>
      <c r="M71" s="6">
        <v>44541</v>
      </c>
      <c r="N71" s="5">
        <v>399.98</v>
      </c>
      <c r="O71" s="28">
        <f t="shared" ca="1" si="6"/>
        <v>1556</v>
      </c>
      <c r="P71" s="28">
        <f>MONTH(Table1[[#This Row],[Date]])</f>
        <v>7</v>
      </c>
      <c r="Q71" s="28">
        <f t="shared" si="7"/>
        <v>2024</v>
      </c>
      <c r="R71" s="30" t="str">
        <f t="shared" si="8"/>
        <v>Normal</v>
      </c>
      <c r="S71" s="31">
        <f t="shared" si="9"/>
        <v>1479.91</v>
      </c>
    </row>
    <row r="72" spans="1:19" ht="15.75" customHeight="1" x14ac:dyDescent="0.3">
      <c r="A72" s="5" t="s">
        <v>197</v>
      </c>
      <c r="B72" s="6">
        <v>45490</v>
      </c>
      <c r="C72" s="5" t="s">
        <v>198</v>
      </c>
      <c r="D72" s="5" t="s">
        <v>199</v>
      </c>
      <c r="E72" s="5" t="s">
        <v>33</v>
      </c>
      <c r="F72" s="5" t="s">
        <v>34</v>
      </c>
      <c r="G72" s="5" t="s">
        <v>35</v>
      </c>
      <c r="H72" s="5">
        <v>3</v>
      </c>
      <c r="I72" s="5">
        <v>59.99</v>
      </c>
      <c r="J72" s="5" t="s">
        <v>28</v>
      </c>
      <c r="K72" s="5" t="s">
        <v>52</v>
      </c>
      <c r="L72" s="5" t="s">
        <v>24</v>
      </c>
      <c r="M72" s="6">
        <v>45130</v>
      </c>
      <c r="N72" s="5">
        <v>179.97</v>
      </c>
      <c r="O72" s="28">
        <f t="shared" ca="1" si="6"/>
        <v>967</v>
      </c>
      <c r="P72" s="28">
        <f>MONTH(Table1[[#This Row],[Date]])</f>
        <v>7</v>
      </c>
      <c r="Q72" s="28">
        <f t="shared" si="7"/>
        <v>2024</v>
      </c>
      <c r="R72" s="30" t="str">
        <f t="shared" si="8"/>
        <v>Normal</v>
      </c>
      <c r="S72" s="31">
        <f t="shared" si="9"/>
        <v>6379.87</v>
      </c>
    </row>
    <row r="73" spans="1:19" ht="15.75" customHeight="1" x14ac:dyDescent="0.3">
      <c r="A73" s="5" t="s">
        <v>200</v>
      </c>
      <c r="B73" s="6">
        <v>45490</v>
      </c>
      <c r="C73" s="5" t="s">
        <v>74</v>
      </c>
      <c r="D73" s="5" t="s">
        <v>75</v>
      </c>
      <c r="E73" s="5" t="s">
        <v>46</v>
      </c>
      <c r="F73" s="5" t="s">
        <v>47</v>
      </c>
      <c r="G73" s="5" t="s">
        <v>48</v>
      </c>
      <c r="H73" s="5">
        <v>3</v>
      </c>
      <c r="I73" s="5">
        <v>149.99</v>
      </c>
      <c r="J73" s="5" t="s">
        <v>22</v>
      </c>
      <c r="K73" s="5" t="s">
        <v>23</v>
      </c>
      <c r="L73" s="5" t="s">
        <v>29</v>
      </c>
      <c r="M73" s="6">
        <v>45199</v>
      </c>
      <c r="N73" s="5">
        <v>449.97</v>
      </c>
      <c r="O73" s="28">
        <f t="shared" ca="1" si="6"/>
        <v>898</v>
      </c>
      <c r="P73" s="28">
        <f>MONTH(Table1[[#This Row],[Date]])</f>
        <v>7</v>
      </c>
      <c r="Q73" s="28">
        <f t="shared" si="7"/>
        <v>2024</v>
      </c>
      <c r="R73" s="30" t="str">
        <f t="shared" si="8"/>
        <v>Normal</v>
      </c>
      <c r="S73" s="31">
        <f t="shared" si="9"/>
        <v>5949.85</v>
      </c>
    </row>
    <row r="74" spans="1:19" ht="15.75" customHeight="1" x14ac:dyDescent="0.3">
      <c r="A74" s="5" t="s">
        <v>201</v>
      </c>
      <c r="B74" s="6">
        <v>45491</v>
      </c>
      <c r="C74" s="5" t="s">
        <v>67</v>
      </c>
      <c r="D74" s="5" t="s">
        <v>68</v>
      </c>
      <c r="E74" s="5" t="s">
        <v>128</v>
      </c>
      <c r="F74" s="5" t="s">
        <v>129</v>
      </c>
      <c r="G74" s="5" t="s">
        <v>48</v>
      </c>
      <c r="H74" s="5">
        <v>3</v>
      </c>
      <c r="I74" s="5">
        <v>199.99</v>
      </c>
      <c r="J74" s="5" t="s">
        <v>22</v>
      </c>
      <c r="K74" s="5" t="s">
        <v>42</v>
      </c>
      <c r="L74" s="5" t="s">
        <v>29</v>
      </c>
      <c r="M74" s="6">
        <v>45254</v>
      </c>
      <c r="N74" s="5">
        <v>599.97</v>
      </c>
      <c r="O74" s="28">
        <f t="shared" ca="1" si="6"/>
        <v>843</v>
      </c>
      <c r="P74" s="28">
        <f>MONTH(Table1[[#This Row],[Date]])</f>
        <v>7</v>
      </c>
      <c r="Q74" s="28">
        <f t="shared" si="7"/>
        <v>2024</v>
      </c>
      <c r="R74" s="30" t="str">
        <f t="shared" si="8"/>
        <v>Normal</v>
      </c>
      <c r="S74" s="31">
        <f t="shared" si="9"/>
        <v>8009.7699999999995</v>
      </c>
    </row>
    <row r="75" spans="1:19" ht="15.75" customHeight="1" x14ac:dyDescent="0.3">
      <c r="A75" s="5" t="s">
        <v>202</v>
      </c>
      <c r="B75" s="6">
        <v>45496</v>
      </c>
      <c r="C75" s="5" t="s">
        <v>152</v>
      </c>
      <c r="D75" s="5" t="s">
        <v>153</v>
      </c>
      <c r="E75" s="5" t="s">
        <v>63</v>
      </c>
      <c r="F75" s="5" t="s">
        <v>64</v>
      </c>
      <c r="G75" s="5" t="s">
        <v>21</v>
      </c>
      <c r="H75" s="5">
        <v>1</v>
      </c>
      <c r="I75" s="5">
        <v>899.99</v>
      </c>
      <c r="J75" s="5" t="s">
        <v>22</v>
      </c>
      <c r="K75" s="5" t="s">
        <v>23</v>
      </c>
      <c r="L75" s="5" t="s">
        <v>38</v>
      </c>
      <c r="M75" s="6">
        <v>45179</v>
      </c>
      <c r="N75" s="5">
        <v>899.99</v>
      </c>
      <c r="O75" s="28">
        <f t="shared" ca="1" si="6"/>
        <v>918</v>
      </c>
      <c r="P75" s="28">
        <f>MONTH(Table1[[#This Row],[Date]])</f>
        <v>7</v>
      </c>
      <c r="Q75" s="28">
        <f t="shared" si="7"/>
        <v>2024</v>
      </c>
      <c r="R75" s="30" t="str">
        <f t="shared" si="8"/>
        <v>Normal</v>
      </c>
      <c r="S75" s="31">
        <f t="shared" si="9"/>
        <v>5619.869999999999</v>
      </c>
    </row>
    <row r="76" spans="1:19" ht="15.75" customHeight="1" x14ac:dyDescent="0.3">
      <c r="A76" s="5" t="s">
        <v>203</v>
      </c>
      <c r="B76" s="6">
        <v>45497</v>
      </c>
      <c r="C76" s="5" t="s">
        <v>26</v>
      </c>
      <c r="D76" s="5" t="s">
        <v>27</v>
      </c>
      <c r="E76" s="5" t="s">
        <v>63</v>
      </c>
      <c r="F76" s="5" t="s">
        <v>64</v>
      </c>
      <c r="G76" s="5" t="s">
        <v>21</v>
      </c>
      <c r="H76" s="5">
        <v>5</v>
      </c>
      <c r="I76" s="5">
        <v>899.99</v>
      </c>
      <c r="J76" s="5" t="s">
        <v>59</v>
      </c>
      <c r="K76" s="5" t="s">
        <v>37</v>
      </c>
      <c r="L76" s="5" t="s">
        <v>38</v>
      </c>
      <c r="M76" s="6">
        <v>44899</v>
      </c>
      <c r="N76" s="5">
        <v>4499.95</v>
      </c>
      <c r="O76" s="28">
        <f t="shared" ca="1" si="6"/>
        <v>1198</v>
      </c>
      <c r="P76" s="28">
        <f>MONTH(Table1[[#This Row],[Date]])</f>
        <v>7</v>
      </c>
      <c r="Q76" s="28">
        <f t="shared" si="7"/>
        <v>2024</v>
      </c>
      <c r="R76" s="30" t="str">
        <f t="shared" si="8"/>
        <v>High Value</v>
      </c>
      <c r="S76" s="31">
        <f t="shared" si="9"/>
        <v>6949.84</v>
      </c>
    </row>
    <row r="77" spans="1:19" ht="15.75" customHeight="1" x14ac:dyDescent="0.3">
      <c r="A77" s="5" t="s">
        <v>204</v>
      </c>
      <c r="B77" s="6">
        <v>45498</v>
      </c>
      <c r="C77" s="5" t="s">
        <v>184</v>
      </c>
      <c r="D77" s="5" t="s">
        <v>185</v>
      </c>
      <c r="E77" s="5" t="s">
        <v>33</v>
      </c>
      <c r="F77" s="5" t="s">
        <v>34</v>
      </c>
      <c r="G77" s="5" t="s">
        <v>35</v>
      </c>
      <c r="H77" s="5">
        <v>2</v>
      </c>
      <c r="I77" s="5">
        <v>59.99</v>
      </c>
      <c r="J77" s="5" t="s">
        <v>22</v>
      </c>
      <c r="K77" s="5" t="s">
        <v>42</v>
      </c>
      <c r="L77" s="5" t="s">
        <v>38</v>
      </c>
      <c r="M77" s="6">
        <v>45152</v>
      </c>
      <c r="N77" s="5">
        <v>119.98</v>
      </c>
      <c r="O77" s="28">
        <f t="shared" ca="1" si="6"/>
        <v>945</v>
      </c>
      <c r="P77" s="28">
        <f>MONTH(Table1[[#This Row],[Date]])</f>
        <v>7</v>
      </c>
      <c r="Q77" s="28">
        <f t="shared" si="7"/>
        <v>2024</v>
      </c>
      <c r="R77" s="30" t="str">
        <f t="shared" si="8"/>
        <v>Normal</v>
      </c>
      <c r="S77" s="31">
        <f t="shared" si="9"/>
        <v>1809.84</v>
      </c>
    </row>
    <row r="78" spans="1:19" ht="15.75" customHeight="1" x14ac:dyDescent="0.3">
      <c r="A78" s="5" t="s">
        <v>205</v>
      </c>
      <c r="B78" s="6">
        <v>45498</v>
      </c>
      <c r="C78" s="5" t="s">
        <v>198</v>
      </c>
      <c r="D78" s="5" t="s">
        <v>199</v>
      </c>
      <c r="E78" s="5" t="s">
        <v>19</v>
      </c>
      <c r="F78" s="5" t="s">
        <v>20</v>
      </c>
      <c r="G78" s="5" t="s">
        <v>21</v>
      </c>
      <c r="H78" s="5">
        <v>4</v>
      </c>
      <c r="I78" s="5">
        <v>249.99</v>
      </c>
      <c r="J78" s="5" t="s">
        <v>59</v>
      </c>
      <c r="K78" s="5" t="s">
        <v>23</v>
      </c>
      <c r="L78" s="5" t="s">
        <v>38</v>
      </c>
      <c r="M78" s="6">
        <v>45127</v>
      </c>
      <c r="N78" s="5">
        <v>999.96</v>
      </c>
      <c r="O78" s="28">
        <f t="shared" ca="1" si="6"/>
        <v>970</v>
      </c>
      <c r="P78" s="28">
        <f>MONTH(Table1[[#This Row],[Date]])</f>
        <v>7</v>
      </c>
      <c r="Q78" s="28">
        <f t="shared" si="7"/>
        <v>2024</v>
      </c>
      <c r="R78" s="30" t="str">
        <f t="shared" si="8"/>
        <v>Normal</v>
      </c>
      <c r="S78" s="31">
        <f t="shared" si="9"/>
        <v>6379.87</v>
      </c>
    </row>
    <row r="79" spans="1:19" ht="15.75" customHeight="1" x14ac:dyDescent="0.3">
      <c r="A79" s="5" t="s">
        <v>206</v>
      </c>
      <c r="B79" s="6">
        <v>45500</v>
      </c>
      <c r="C79" s="5" t="s">
        <v>98</v>
      </c>
      <c r="D79" s="5" t="s">
        <v>99</v>
      </c>
      <c r="E79" s="5" t="s">
        <v>19</v>
      </c>
      <c r="F79" s="5" t="s">
        <v>20</v>
      </c>
      <c r="G79" s="5" t="s">
        <v>21</v>
      </c>
      <c r="H79" s="5">
        <v>2</v>
      </c>
      <c r="I79" s="5">
        <v>249.99</v>
      </c>
      <c r="J79" s="5" t="s">
        <v>22</v>
      </c>
      <c r="K79" s="5" t="s">
        <v>42</v>
      </c>
      <c r="L79" s="5" t="s">
        <v>29</v>
      </c>
      <c r="M79" s="6">
        <v>45164</v>
      </c>
      <c r="N79" s="5">
        <v>499.98</v>
      </c>
      <c r="O79" s="28">
        <f t="shared" ca="1" si="6"/>
        <v>933</v>
      </c>
      <c r="P79" s="28">
        <f>MONTH(Table1[[#This Row],[Date]])</f>
        <v>7</v>
      </c>
      <c r="Q79" s="28">
        <f t="shared" si="7"/>
        <v>2024</v>
      </c>
      <c r="R79" s="30" t="str">
        <f t="shared" si="8"/>
        <v>Normal</v>
      </c>
      <c r="S79" s="31">
        <f t="shared" si="9"/>
        <v>10649.8</v>
      </c>
    </row>
    <row r="80" spans="1:19" ht="15.75" customHeight="1" x14ac:dyDescent="0.3">
      <c r="A80" s="5" t="s">
        <v>207</v>
      </c>
      <c r="B80" s="6">
        <v>45500</v>
      </c>
      <c r="C80" s="5" t="s">
        <v>149</v>
      </c>
      <c r="D80" s="5" t="s">
        <v>150</v>
      </c>
      <c r="E80" s="5" t="s">
        <v>107</v>
      </c>
      <c r="F80" s="5" t="s">
        <v>108</v>
      </c>
      <c r="G80" s="5" t="s">
        <v>48</v>
      </c>
      <c r="H80" s="5">
        <v>1</v>
      </c>
      <c r="I80" s="5">
        <v>299.99</v>
      </c>
      <c r="J80" s="5" t="s">
        <v>22</v>
      </c>
      <c r="K80" s="5" t="s">
        <v>37</v>
      </c>
      <c r="L80" s="5" t="s">
        <v>24</v>
      </c>
      <c r="M80" s="6">
        <v>44982</v>
      </c>
      <c r="N80" s="5">
        <v>299.99</v>
      </c>
      <c r="O80" s="28">
        <f t="shared" ca="1" si="6"/>
        <v>1115</v>
      </c>
      <c r="P80" s="28">
        <f>MONTH(Table1[[#This Row],[Date]])</f>
        <v>7</v>
      </c>
      <c r="Q80" s="28">
        <f t="shared" si="7"/>
        <v>2024</v>
      </c>
      <c r="R80" s="30" t="str">
        <f t="shared" si="8"/>
        <v>Normal</v>
      </c>
      <c r="S80" s="31">
        <f t="shared" si="9"/>
        <v>7309.7999999999993</v>
      </c>
    </row>
    <row r="81" spans="1:19" ht="15.75" customHeight="1" x14ac:dyDescent="0.3">
      <c r="A81" s="5" t="s">
        <v>208</v>
      </c>
      <c r="B81" s="6">
        <v>45501</v>
      </c>
      <c r="C81" s="5" t="s">
        <v>88</v>
      </c>
      <c r="D81" s="5" t="s">
        <v>89</v>
      </c>
      <c r="E81" s="5" t="s">
        <v>119</v>
      </c>
      <c r="F81" s="5" t="s">
        <v>120</v>
      </c>
      <c r="G81" s="5" t="s">
        <v>21</v>
      </c>
      <c r="H81" s="5">
        <v>2</v>
      </c>
      <c r="I81" s="5">
        <v>89.99</v>
      </c>
      <c r="J81" s="5" t="s">
        <v>36</v>
      </c>
      <c r="K81" s="5" t="s">
        <v>37</v>
      </c>
      <c r="L81" s="5" t="s">
        <v>24</v>
      </c>
      <c r="M81" s="6">
        <v>44976</v>
      </c>
      <c r="N81" s="5">
        <v>179.98</v>
      </c>
      <c r="O81" s="28">
        <f t="shared" ca="1" si="6"/>
        <v>1121</v>
      </c>
      <c r="P81" s="28">
        <f>MONTH(Table1[[#This Row],[Date]])</f>
        <v>7</v>
      </c>
      <c r="Q81" s="28">
        <f t="shared" si="7"/>
        <v>2024</v>
      </c>
      <c r="R81" s="30" t="str">
        <f t="shared" si="8"/>
        <v>Normal</v>
      </c>
      <c r="S81" s="31">
        <f t="shared" si="9"/>
        <v>15659.65</v>
      </c>
    </row>
    <row r="82" spans="1:19" ht="15.75" customHeight="1" x14ac:dyDescent="0.3">
      <c r="A82" s="5" t="s">
        <v>209</v>
      </c>
      <c r="B82" s="6">
        <v>45501</v>
      </c>
      <c r="C82" s="5" t="s">
        <v>149</v>
      </c>
      <c r="D82" s="5" t="s">
        <v>150</v>
      </c>
      <c r="E82" s="5" t="s">
        <v>107</v>
      </c>
      <c r="F82" s="5" t="s">
        <v>108</v>
      </c>
      <c r="G82" s="5" t="s">
        <v>48</v>
      </c>
      <c r="H82" s="5">
        <v>3</v>
      </c>
      <c r="I82" s="5">
        <v>299.99</v>
      </c>
      <c r="J82" s="5" t="s">
        <v>22</v>
      </c>
      <c r="K82" s="5" t="s">
        <v>23</v>
      </c>
      <c r="L82" s="5" t="s">
        <v>24</v>
      </c>
      <c r="M82" s="6">
        <v>44732</v>
      </c>
      <c r="N82" s="5">
        <v>899.97</v>
      </c>
      <c r="O82" s="28">
        <f t="shared" ca="1" si="6"/>
        <v>1365</v>
      </c>
      <c r="P82" s="28">
        <f>MONTH(Table1[[#This Row],[Date]])</f>
        <v>7</v>
      </c>
      <c r="Q82" s="28">
        <f t="shared" si="7"/>
        <v>2024</v>
      </c>
      <c r="R82" s="30" t="str">
        <f t="shared" si="8"/>
        <v>Normal</v>
      </c>
      <c r="S82" s="31">
        <f t="shared" si="9"/>
        <v>7309.7999999999993</v>
      </c>
    </row>
    <row r="83" spans="1:19" ht="15.75" customHeight="1" x14ac:dyDescent="0.3">
      <c r="A83" s="5" t="s">
        <v>210</v>
      </c>
      <c r="B83" s="6">
        <v>45503</v>
      </c>
      <c r="C83" s="5" t="s">
        <v>88</v>
      </c>
      <c r="D83" s="5" t="s">
        <v>89</v>
      </c>
      <c r="E83" s="5" t="s">
        <v>82</v>
      </c>
      <c r="F83" s="5" t="s">
        <v>83</v>
      </c>
      <c r="G83" s="5" t="s">
        <v>21</v>
      </c>
      <c r="H83" s="5">
        <v>2</v>
      </c>
      <c r="I83" s="5">
        <v>699.99</v>
      </c>
      <c r="J83" s="5" t="s">
        <v>28</v>
      </c>
      <c r="K83" s="5" t="s">
        <v>42</v>
      </c>
      <c r="L83" s="5" t="s">
        <v>29</v>
      </c>
      <c r="M83" s="6">
        <v>44999</v>
      </c>
      <c r="N83" s="5">
        <v>1399.98</v>
      </c>
      <c r="O83" s="28">
        <f t="shared" ca="1" si="6"/>
        <v>1098</v>
      </c>
      <c r="P83" s="28">
        <f>MONTH(Table1[[#This Row],[Date]])</f>
        <v>7</v>
      </c>
      <c r="Q83" s="28">
        <f t="shared" si="7"/>
        <v>2024</v>
      </c>
      <c r="R83" s="30" t="str">
        <f t="shared" si="8"/>
        <v>High Value</v>
      </c>
      <c r="S83" s="31">
        <f t="shared" si="9"/>
        <v>15659.65</v>
      </c>
    </row>
    <row r="84" spans="1:19" ht="15.75" customHeight="1" x14ac:dyDescent="0.3">
      <c r="A84" s="5" t="s">
        <v>211</v>
      </c>
      <c r="B84" s="6">
        <v>45504</v>
      </c>
      <c r="C84" s="5" t="s">
        <v>122</v>
      </c>
      <c r="D84" s="5" t="s">
        <v>123</v>
      </c>
      <c r="E84" s="5" t="s">
        <v>63</v>
      </c>
      <c r="F84" s="5" t="s">
        <v>64</v>
      </c>
      <c r="G84" s="5" t="s">
        <v>21</v>
      </c>
      <c r="H84" s="5">
        <v>4</v>
      </c>
      <c r="I84" s="5">
        <v>899.99</v>
      </c>
      <c r="J84" s="5" t="s">
        <v>59</v>
      </c>
      <c r="K84" s="5" t="s">
        <v>37</v>
      </c>
      <c r="L84" s="5" t="s">
        <v>38</v>
      </c>
      <c r="M84" s="6">
        <v>44523</v>
      </c>
      <c r="N84" s="5">
        <v>3599.96</v>
      </c>
      <c r="O84" s="28">
        <f t="shared" ca="1" si="6"/>
        <v>1574</v>
      </c>
      <c r="P84" s="28">
        <f>MONTH(Table1[[#This Row],[Date]])</f>
        <v>7</v>
      </c>
      <c r="Q84" s="28">
        <f t="shared" si="7"/>
        <v>2024</v>
      </c>
      <c r="R84" s="30" t="str">
        <f t="shared" si="8"/>
        <v>High Value</v>
      </c>
      <c r="S84" s="31">
        <f t="shared" si="9"/>
        <v>6459.79</v>
      </c>
    </row>
    <row r="85" spans="1:19" ht="15.75" customHeight="1" x14ac:dyDescent="0.3">
      <c r="A85" s="5" t="s">
        <v>212</v>
      </c>
      <c r="B85" s="6">
        <v>45509</v>
      </c>
      <c r="C85" s="5" t="s">
        <v>213</v>
      </c>
      <c r="D85" s="5" t="s">
        <v>214</v>
      </c>
      <c r="E85" s="5" t="s">
        <v>46</v>
      </c>
      <c r="F85" s="5" t="s">
        <v>47</v>
      </c>
      <c r="G85" s="5" t="s">
        <v>48</v>
      </c>
      <c r="H85" s="5">
        <v>2</v>
      </c>
      <c r="I85" s="5">
        <v>149.99</v>
      </c>
      <c r="J85" s="5" t="s">
        <v>28</v>
      </c>
      <c r="K85" s="5" t="s">
        <v>52</v>
      </c>
      <c r="L85" s="5" t="s">
        <v>24</v>
      </c>
      <c r="M85" s="6">
        <v>44542</v>
      </c>
      <c r="N85" s="5">
        <v>299.98</v>
      </c>
      <c r="O85" s="28">
        <f t="shared" ca="1" si="6"/>
        <v>1555</v>
      </c>
      <c r="P85" s="28">
        <f>MONTH(Table1[[#This Row],[Date]])</f>
        <v>8</v>
      </c>
      <c r="Q85" s="28">
        <f t="shared" si="7"/>
        <v>2024</v>
      </c>
      <c r="R85" s="30" t="str">
        <f t="shared" si="8"/>
        <v>Normal</v>
      </c>
      <c r="S85" s="31">
        <f t="shared" si="9"/>
        <v>3649.8599999999997</v>
      </c>
    </row>
    <row r="86" spans="1:19" ht="15.75" customHeight="1" x14ac:dyDescent="0.3">
      <c r="A86" s="5" t="s">
        <v>215</v>
      </c>
      <c r="B86" s="6">
        <v>45510</v>
      </c>
      <c r="C86" s="5" t="s">
        <v>104</v>
      </c>
      <c r="D86" s="5" t="s">
        <v>105</v>
      </c>
      <c r="E86" s="5" t="s">
        <v>46</v>
      </c>
      <c r="F86" s="5" t="s">
        <v>47</v>
      </c>
      <c r="G86" s="5" t="s">
        <v>48</v>
      </c>
      <c r="H86" s="5">
        <v>2</v>
      </c>
      <c r="I86" s="5">
        <v>149.99</v>
      </c>
      <c r="J86" s="5" t="s">
        <v>59</v>
      </c>
      <c r="K86" s="5" t="s">
        <v>65</v>
      </c>
      <c r="L86" s="5" t="s">
        <v>38</v>
      </c>
      <c r="M86" s="6">
        <v>44667</v>
      </c>
      <c r="N86" s="5">
        <v>299.98</v>
      </c>
      <c r="O86" s="28">
        <f t="shared" ca="1" si="6"/>
        <v>1430</v>
      </c>
      <c r="P86" s="28">
        <f>MONTH(Table1[[#This Row],[Date]])</f>
        <v>8</v>
      </c>
      <c r="Q86" s="28">
        <f t="shared" si="7"/>
        <v>2024</v>
      </c>
      <c r="R86" s="30" t="str">
        <f t="shared" si="8"/>
        <v>Normal</v>
      </c>
      <c r="S86" s="31">
        <f t="shared" si="9"/>
        <v>3769.8300000000004</v>
      </c>
    </row>
    <row r="87" spans="1:19" ht="15.75" customHeight="1" x14ac:dyDescent="0.3">
      <c r="A87" s="5" t="s">
        <v>216</v>
      </c>
      <c r="B87" s="6">
        <v>45513</v>
      </c>
      <c r="C87" s="5" t="s">
        <v>91</v>
      </c>
      <c r="D87" s="5" t="s">
        <v>92</v>
      </c>
      <c r="E87" s="5" t="s">
        <v>119</v>
      </c>
      <c r="F87" s="5" t="s">
        <v>120</v>
      </c>
      <c r="G87" s="5" t="s">
        <v>21</v>
      </c>
      <c r="H87" s="5">
        <v>1</v>
      </c>
      <c r="I87" s="5">
        <v>89.99</v>
      </c>
      <c r="J87" s="5" t="s">
        <v>28</v>
      </c>
      <c r="K87" s="5" t="s">
        <v>42</v>
      </c>
      <c r="L87" s="5" t="s">
        <v>38</v>
      </c>
      <c r="M87" s="6">
        <v>45393</v>
      </c>
      <c r="N87" s="5">
        <v>89.99</v>
      </c>
      <c r="O87" s="28">
        <f t="shared" ca="1" si="6"/>
        <v>704</v>
      </c>
      <c r="P87" s="28">
        <f>MONTH(Table1[[#This Row],[Date]])</f>
        <v>8</v>
      </c>
      <c r="Q87" s="28">
        <f t="shared" si="7"/>
        <v>2024</v>
      </c>
      <c r="R87" s="30" t="str">
        <f t="shared" si="8"/>
        <v>Normal</v>
      </c>
      <c r="S87" s="31">
        <f t="shared" si="9"/>
        <v>1909.93</v>
      </c>
    </row>
    <row r="88" spans="1:19" ht="15.75" customHeight="1" x14ac:dyDescent="0.3">
      <c r="A88" s="5" t="s">
        <v>217</v>
      </c>
      <c r="B88" s="6">
        <v>45515</v>
      </c>
      <c r="C88" s="5" t="s">
        <v>88</v>
      </c>
      <c r="D88" s="5" t="s">
        <v>89</v>
      </c>
      <c r="E88" s="5" t="s">
        <v>107</v>
      </c>
      <c r="F88" s="5" t="s">
        <v>108</v>
      </c>
      <c r="G88" s="5" t="s">
        <v>48</v>
      </c>
      <c r="H88" s="5">
        <v>5</v>
      </c>
      <c r="I88" s="5">
        <v>299.99</v>
      </c>
      <c r="J88" s="5" t="s">
        <v>28</v>
      </c>
      <c r="K88" s="5" t="s">
        <v>42</v>
      </c>
      <c r="L88" s="5" t="s">
        <v>24</v>
      </c>
      <c r="M88" s="6">
        <v>44965</v>
      </c>
      <c r="N88" s="5">
        <v>1499.95</v>
      </c>
      <c r="O88" s="28">
        <f t="shared" ca="1" si="6"/>
        <v>1132</v>
      </c>
      <c r="P88" s="28">
        <f>MONTH(Table1[[#This Row],[Date]])</f>
        <v>8</v>
      </c>
      <c r="Q88" s="28">
        <f t="shared" si="7"/>
        <v>2024</v>
      </c>
      <c r="R88" s="30" t="str">
        <f t="shared" si="8"/>
        <v>High Value</v>
      </c>
      <c r="S88" s="31">
        <f t="shared" si="9"/>
        <v>15659.65</v>
      </c>
    </row>
    <row r="89" spans="1:19" ht="15.75" customHeight="1" x14ac:dyDescent="0.3">
      <c r="A89" s="5" t="s">
        <v>218</v>
      </c>
      <c r="B89" s="6">
        <v>45517</v>
      </c>
      <c r="C89" s="5" t="s">
        <v>184</v>
      </c>
      <c r="D89" s="5" t="s">
        <v>185</v>
      </c>
      <c r="E89" s="5" t="s">
        <v>54</v>
      </c>
      <c r="F89" s="5" t="s">
        <v>55</v>
      </c>
      <c r="G89" s="5" t="s">
        <v>21</v>
      </c>
      <c r="H89" s="5">
        <v>4</v>
      </c>
      <c r="I89" s="5">
        <v>149.99</v>
      </c>
      <c r="J89" s="5" t="s">
        <v>59</v>
      </c>
      <c r="K89" s="5" t="s">
        <v>37</v>
      </c>
      <c r="L89" s="5" t="s">
        <v>29</v>
      </c>
      <c r="M89" s="6">
        <v>44820</v>
      </c>
      <c r="N89" s="5">
        <v>599.96</v>
      </c>
      <c r="O89" s="28">
        <f t="shared" ca="1" si="6"/>
        <v>1277</v>
      </c>
      <c r="P89" s="28">
        <f>MONTH(Table1[[#This Row],[Date]])</f>
        <v>8</v>
      </c>
      <c r="Q89" s="28">
        <f t="shared" si="7"/>
        <v>2024</v>
      </c>
      <c r="R89" s="30" t="str">
        <f t="shared" si="8"/>
        <v>Normal</v>
      </c>
      <c r="S89" s="31">
        <f t="shared" si="9"/>
        <v>1809.84</v>
      </c>
    </row>
    <row r="90" spans="1:19" ht="15.75" customHeight="1" x14ac:dyDescent="0.3">
      <c r="A90" s="5" t="s">
        <v>219</v>
      </c>
      <c r="B90" s="6">
        <v>45517</v>
      </c>
      <c r="C90" s="5" t="s">
        <v>187</v>
      </c>
      <c r="D90" s="5" t="s">
        <v>188</v>
      </c>
      <c r="E90" s="5" t="s">
        <v>19</v>
      </c>
      <c r="F90" s="5" t="s">
        <v>20</v>
      </c>
      <c r="G90" s="5" t="s">
        <v>21</v>
      </c>
      <c r="H90" s="5">
        <v>5</v>
      </c>
      <c r="I90" s="5">
        <v>249.99</v>
      </c>
      <c r="J90" s="5" t="s">
        <v>36</v>
      </c>
      <c r="K90" s="5" t="s">
        <v>65</v>
      </c>
      <c r="L90" s="5" t="s">
        <v>29</v>
      </c>
      <c r="M90" s="6">
        <v>44782</v>
      </c>
      <c r="N90" s="5">
        <v>1249.95</v>
      </c>
      <c r="O90" s="28">
        <f t="shared" ca="1" si="6"/>
        <v>1315</v>
      </c>
      <c r="P90" s="28">
        <f>MONTH(Table1[[#This Row],[Date]])</f>
        <v>8</v>
      </c>
      <c r="Q90" s="28">
        <f t="shared" si="7"/>
        <v>2024</v>
      </c>
      <c r="R90" s="30" t="str">
        <f t="shared" si="8"/>
        <v>High Value</v>
      </c>
      <c r="S90" s="31">
        <f t="shared" si="9"/>
        <v>2099.88</v>
      </c>
    </row>
    <row r="91" spans="1:19" ht="15.75" customHeight="1" x14ac:dyDescent="0.3">
      <c r="A91" s="5" t="s">
        <v>220</v>
      </c>
      <c r="B91" s="6">
        <v>45517</v>
      </c>
      <c r="C91" s="5" t="s">
        <v>67</v>
      </c>
      <c r="D91" s="5" t="s">
        <v>68</v>
      </c>
      <c r="E91" s="5" t="s">
        <v>19</v>
      </c>
      <c r="F91" s="5" t="s">
        <v>20</v>
      </c>
      <c r="G91" s="5" t="s">
        <v>21</v>
      </c>
      <c r="H91" s="5">
        <v>3</v>
      </c>
      <c r="I91" s="5">
        <v>249.99</v>
      </c>
      <c r="J91" s="5" t="s">
        <v>36</v>
      </c>
      <c r="K91" s="5" t="s">
        <v>42</v>
      </c>
      <c r="L91" s="5" t="s">
        <v>29</v>
      </c>
      <c r="M91" s="6">
        <v>44465</v>
      </c>
      <c r="N91" s="5">
        <v>749.97</v>
      </c>
      <c r="O91" s="28">
        <f t="shared" ca="1" si="6"/>
        <v>1632</v>
      </c>
      <c r="P91" s="28">
        <f>MONTH(Table1[[#This Row],[Date]])</f>
        <v>8</v>
      </c>
      <c r="Q91" s="28">
        <f t="shared" si="7"/>
        <v>2024</v>
      </c>
      <c r="R91" s="30" t="str">
        <f t="shared" si="8"/>
        <v>Normal</v>
      </c>
      <c r="S91" s="31">
        <f t="shared" si="9"/>
        <v>8009.7699999999995</v>
      </c>
    </row>
    <row r="92" spans="1:19" ht="15.75" customHeight="1" x14ac:dyDescent="0.3">
      <c r="A92" s="5" t="s">
        <v>221</v>
      </c>
      <c r="B92" s="6">
        <v>45517</v>
      </c>
      <c r="C92" s="5" t="s">
        <v>40</v>
      </c>
      <c r="D92" s="5" t="s">
        <v>41</v>
      </c>
      <c r="E92" s="5" t="s">
        <v>128</v>
      </c>
      <c r="F92" s="5" t="s">
        <v>129</v>
      </c>
      <c r="G92" s="5" t="s">
        <v>48</v>
      </c>
      <c r="H92" s="5">
        <v>4</v>
      </c>
      <c r="I92" s="5">
        <v>199.99</v>
      </c>
      <c r="J92" s="5" t="s">
        <v>22</v>
      </c>
      <c r="K92" s="5" t="s">
        <v>42</v>
      </c>
      <c r="L92" s="5" t="s">
        <v>38</v>
      </c>
      <c r="M92" s="6">
        <v>44458</v>
      </c>
      <c r="N92" s="5">
        <v>799.96</v>
      </c>
      <c r="O92" s="28">
        <f t="shared" ca="1" si="6"/>
        <v>1639</v>
      </c>
      <c r="P92" s="28">
        <f>MONTH(Table1[[#This Row],[Date]])</f>
        <v>8</v>
      </c>
      <c r="Q92" s="28">
        <f t="shared" si="7"/>
        <v>2024</v>
      </c>
      <c r="R92" s="30" t="str">
        <f t="shared" si="8"/>
        <v>Normal</v>
      </c>
      <c r="S92" s="31">
        <f t="shared" si="9"/>
        <v>4309.8099999999995</v>
      </c>
    </row>
    <row r="93" spans="1:19" ht="15.75" customHeight="1" x14ac:dyDescent="0.3">
      <c r="A93" s="5" t="s">
        <v>222</v>
      </c>
      <c r="B93" s="6">
        <v>45519</v>
      </c>
      <c r="C93" s="5" t="s">
        <v>160</v>
      </c>
      <c r="D93" s="5" t="s">
        <v>161</v>
      </c>
      <c r="E93" s="5" t="s">
        <v>128</v>
      </c>
      <c r="F93" s="5" t="s">
        <v>129</v>
      </c>
      <c r="G93" s="5" t="s">
        <v>48</v>
      </c>
      <c r="H93" s="5">
        <v>5</v>
      </c>
      <c r="I93" s="5">
        <v>199.99</v>
      </c>
      <c r="J93" s="5" t="s">
        <v>22</v>
      </c>
      <c r="K93" s="5" t="s">
        <v>42</v>
      </c>
      <c r="L93" s="5" t="s">
        <v>29</v>
      </c>
      <c r="M93" s="6">
        <v>44991</v>
      </c>
      <c r="N93" s="5">
        <v>999.95</v>
      </c>
      <c r="O93" s="28">
        <f t="shared" ca="1" si="6"/>
        <v>1106</v>
      </c>
      <c r="P93" s="28">
        <f>MONTH(Table1[[#This Row],[Date]])</f>
        <v>8</v>
      </c>
      <c r="Q93" s="28">
        <f t="shared" si="7"/>
        <v>2024</v>
      </c>
      <c r="R93" s="30" t="str">
        <f t="shared" si="8"/>
        <v>Normal</v>
      </c>
      <c r="S93" s="31">
        <f t="shared" si="9"/>
        <v>5649.84</v>
      </c>
    </row>
    <row r="94" spans="1:19" ht="15.75" customHeight="1" x14ac:dyDescent="0.3">
      <c r="A94" s="5" t="s">
        <v>223</v>
      </c>
      <c r="B94" s="6">
        <v>45522</v>
      </c>
      <c r="C94" s="5" t="s">
        <v>88</v>
      </c>
      <c r="D94" s="5" t="s">
        <v>89</v>
      </c>
      <c r="E94" s="5" t="s">
        <v>119</v>
      </c>
      <c r="F94" s="5" t="s">
        <v>120</v>
      </c>
      <c r="G94" s="5" t="s">
        <v>21</v>
      </c>
      <c r="H94" s="5">
        <v>2</v>
      </c>
      <c r="I94" s="5">
        <v>89.99</v>
      </c>
      <c r="J94" s="5" t="s">
        <v>22</v>
      </c>
      <c r="K94" s="5" t="s">
        <v>65</v>
      </c>
      <c r="L94" s="5" t="s">
        <v>29</v>
      </c>
      <c r="M94" s="6">
        <v>44972</v>
      </c>
      <c r="N94" s="5">
        <v>179.98</v>
      </c>
      <c r="O94" s="28">
        <f t="shared" ca="1" si="6"/>
        <v>1125</v>
      </c>
      <c r="P94" s="28">
        <f>MONTH(Table1[[#This Row],[Date]])</f>
        <v>8</v>
      </c>
      <c r="Q94" s="28">
        <f t="shared" si="7"/>
        <v>2024</v>
      </c>
      <c r="R94" s="30" t="str">
        <f t="shared" si="8"/>
        <v>Normal</v>
      </c>
      <c r="S94" s="31">
        <f t="shared" si="9"/>
        <v>15659.65</v>
      </c>
    </row>
    <row r="95" spans="1:19" ht="15.75" customHeight="1" x14ac:dyDescent="0.3">
      <c r="A95" s="5" t="s">
        <v>224</v>
      </c>
      <c r="B95" s="6">
        <v>45523</v>
      </c>
      <c r="C95" s="5" t="s">
        <v>198</v>
      </c>
      <c r="D95" s="5" t="s">
        <v>199</v>
      </c>
      <c r="E95" s="5" t="s">
        <v>63</v>
      </c>
      <c r="F95" s="5" t="s">
        <v>64</v>
      </c>
      <c r="G95" s="5" t="s">
        <v>21</v>
      </c>
      <c r="H95" s="5">
        <v>5</v>
      </c>
      <c r="I95" s="5">
        <v>899.99</v>
      </c>
      <c r="J95" s="5" t="s">
        <v>59</v>
      </c>
      <c r="K95" s="5" t="s">
        <v>65</v>
      </c>
      <c r="L95" s="5" t="s">
        <v>24</v>
      </c>
      <c r="M95" s="6">
        <v>44526</v>
      </c>
      <c r="N95" s="5">
        <v>4499.95</v>
      </c>
      <c r="O95" s="28">
        <f t="shared" ca="1" si="6"/>
        <v>1571</v>
      </c>
      <c r="P95" s="28">
        <f>MONTH(Table1[[#This Row],[Date]])</f>
        <v>8</v>
      </c>
      <c r="Q95" s="28">
        <f t="shared" si="7"/>
        <v>2024</v>
      </c>
      <c r="R95" s="30" t="str">
        <f t="shared" si="8"/>
        <v>High Value</v>
      </c>
      <c r="S95" s="31">
        <f t="shared" si="9"/>
        <v>6379.87</v>
      </c>
    </row>
    <row r="96" spans="1:19" ht="15.75" customHeight="1" x14ac:dyDescent="0.3">
      <c r="A96" s="5" t="s">
        <v>225</v>
      </c>
      <c r="B96" s="6">
        <v>45523</v>
      </c>
      <c r="C96" s="5" t="s">
        <v>110</v>
      </c>
      <c r="D96" s="5" t="s">
        <v>111</v>
      </c>
      <c r="E96" s="5" t="s">
        <v>54</v>
      </c>
      <c r="F96" s="5" t="s">
        <v>55</v>
      </c>
      <c r="G96" s="5" t="s">
        <v>21</v>
      </c>
      <c r="H96" s="5">
        <v>3</v>
      </c>
      <c r="I96" s="5">
        <v>149.99</v>
      </c>
      <c r="J96" s="5" t="s">
        <v>36</v>
      </c>
      <c r="K96" s="5" t="s">
        <v>65</v>
      </c>
      <c r="L96" s="5" t="s">
        <v>24</v>
      </c>
      <c r="M96" s="6">
        <v>44574</v>
      </c>
      <c r="N96" s="5">
        <v>449.97</v>
      </c>
      <c r="O96" s="28">
        <f t="shared" ca="1" si="6"/>
        <v>1523</v>
      </c>
      <c r="P96" s="28">
        <f>MONTH(Table1[[#This Row],[Date]])</f>
        <v>8</v>
      </c>
      <c r="Q96" s="28">
        <f t="shared" si="7"/>
        <v>2024</v>
      </c>
      <c r="R96" s="30" t="str">
        <f t="shared" si="8"/>
        <v>Normal</v>
      </c>
      <c r="S96" s="31">
        <f t="shared" si="9"/>
        <v>4189.7700000000004</v>
      </c>
    </row>
    <row r="97" spans="1:19" ht="15.75" customHeight="1" x14ac:dyDescent="0.3">
      <c r="A97" s="5" t="s">
        <v>226</v>
      </c>
      <c r="B97" s="6">
        <v>45526</v>
      </c>
      <c r="C97" s="5" t="s">
        <v>104</v>
      </c>
      <c r="D97" s="5" t="s">
        <v>105</v>
      </c>
      <c r="E97" s="5" t="s">
        <v>46</v>
      </c>
      <c r="F97" s="5" t="s">
        <v>47</v>
      </c>
      <c r="G97" s="5" t="s">
        <v>48</v>
      </c>
      <c r="H97" s="5">
        <v>5</v>
      </c>
      <c r="I97" s="5">
        <v>149.99</v>
      </c>
      <c r="J97" s="5" t="s">
        <v>28</v>
      </c>
      <c r="K97" s="5" t="s">
        <v>23</v>
      </c>
      <c r="L97" s="5" t="s">
        <v>24</v>
      </c>
      <c r="M97" s="6">
        <v>45310</v>
      </c>
      <c r="N97" s="5">
        <v>749.95</v>
      </c>
      <c r="O97" s="28">
        <f t="shared" ca="1" si="6"/>
        <v>787</v>
      </c>
      <c r="P97" s="28">
        <f>MONTH(Table1[[#This Row],[Date]])</f>
        <v>8</v>
      </c>
      <c r="Q97" s="28">
        <f t="shared" si="7"/>
        <v>2024</v>
      </c>
      <c r="R97" s="30" t="str">
        <f t="shared" si="8"/>
        <v>Normal</v>
      </c>
      <c r="S97" s="31">
        <f t="shared" si="9"/>
        <v>3769.8300000000004</v>
      </c>
    </row>
    <row r="98" spans="1:19" ht="15.75" customHeight="1" x14ac:dyDescent="0.3">
      <c r="A98" s="5" t="s">
        <v>227</v>
      </c>
      <c r="B98" s="6">
        <v>45528</v>
      </c>
      <c r="C98" s="5" t="s">
        <v>228</v>
      </c>
      <c r="D98" s="5" t="s">
        <v>229</v>
      </c>
      <c r="E98" s="5" t="s">
        <v>116</v>
      </c>
      <c r="F98" s="5" t="s">
        <v>117</v>
      </c>
      <c r="G98" s="5" t="s">
        <v>35</v>
      </c>
      <c r="H98" s="5">
        <v>3</v>
      </c>
      <c r="I98" s="5">
        <v>79.989999999999995</v>
      </c>
      <c r="J98" s="5" t="s">
        <v>22</v>
      </c>
      <c r="K98" s="5" t="s">
        <v>23</v>
      </c>
      <c r="L98" s="5" t="s">
        <v>29</v>
      </c>
      <c r="M98" s="6">
        <v>44779</v>
      </c>
      <c r="N98" s="5">
        <v>239.97</v>
      </c>
      <c r="O98" s="28">
        <f t="shared" ca="1" si="6"/>
        <v>1318</v>
      </c>
      <c r="P98" s="28">
        <f>MONTH(Table1[[#This Row],[Date]])</f>
        <v>8</v>
      </c>
      <c r="Q98" s="28">
        <f t="shared" si="7"/>
        <v>2024</v>
      </c>
      <c r="R98" s="30" t="str">
        <f t="shared" si="8"/>
        <v>Normal</v>
      </c>
      <c r="S98" s="31">
        <f t="shared" si="9"/>
        <v>6989.7699999999986</v>
      </c>
    </row>
    <row r="99" spans="1:19" ht="15.75" customHeight="1" x14ac:dyDescent="0.3">
      <c r="A99" s="5" t="s">
        <v>230</v>
      </c>
      <c r="B99" s="6">
        <v>45528</v>
      </c>
      <c r="C99" s="5" t="s">
        <v>146</v>
      </c>
      <c r="D99" s="5" t="s">
        <v>147</v>
      </c>
      <c r="E99" s="5" t="s">
        <v>19</v>
      </c>
      <c r="F99" s="5" t="s">
        <v>20</v>
      </c>
      <c r="G99" s="5" t="s">
        <v>21</v>
      </c>
      <c r="H99" s="5">
        <v>2</v>
      </c>
      <c r="I99" s="5">
        <v>249.99</v>
      </c>
      <c r="J99" s="5" t="s">
        <v>22</v>
      </c>
      <c r="K99" s="5" t="s">
        <v>37</v>
      </c>
      <c r="L99" s="5" t="s">
        <v>38</v>
      </c>
      <c r="M99" s="6">
        <v>44572</v>
      </c>
      <c r="N99" s="5">
        <v>499.98</v>
      </c>
      <c r="O99" s="28">
        <f t="shared" ca="1" si="6"/>
        <v>1525</v>
      </c>
      <c r="P99" s="28">
        <f>MONTH(Table1[[#This Row],[Date]])</f>
        <v>8</v>
      </c>
      <c r="Q99" s="28">
        <f t="shared" si="7"/>
        <v>2024</v>
      </c>
      <c r="R99" s="30" t="str">
        <f t="shared" si="8"/>
        <v>Normal</v>
      </c>
      <c r="S99" s="31">
        <f t="shared" si="9"/>
        <v>5519.8899999999994</v>
      </c>
    </row>
    <row r="100" spans="1:19" ht="15.75" customHeight="1" x14ac:dyDescent="0.3">
      <c r="A100" s="5" t="s">
        <v>231</v>
      </c>
      <c r="B100" s="6">
        <v>45532</v>
      </c>
      <c r="C100" s="5" t="s">
        <v>198</v>
      </c>
      <c r="D100" s="5" t="s">
        <v>199</v>
      </c>
      <c r="E100" s="5" t="s">
        <v>82</v>
      </c>
      <c r="F100" s="5" t="s">
        <v>83</v>
      </c>
      <c r="G100" s="5" t="s">
        <v>21</v>
      </c>
      <c r="H100" s="5">
        <v>1</v>
      </c>
      <c r="I100" s="5">
        <v>699.99</v>
      </c>
      <c r="J100" s="5" t="s">
        <v>22</v>
      </c>
      <c r="K100" s="5" t="s">
        <v>23</v>
      </c>
      <c r="L100" s="5" t="s">
        <v>29</v>
      </c>
      <c r="M100" s="6">
        <v>44497</v>
      </c>
      <c r="N100" s="5">
        <v>699.99</v>
      </c>
      <c r="O100" s="28">
        <f t="shared" ca="1" si="6"/>
        <v>1600</v>
      </c>
      <c r="P100" s="28">
        <f>MONTH(Table1[[#This Row],[Date]])</f>
        <v>8</v>
      </c>
      <c r="Q100" s="28">
        <f t="shared" si="7"/>
        <v>2024</v>
      </c>
      <c r="R100" s="30" t="str">
        <f t="shared" si="8"/>
        <v>Normal</v>
      </c>
      <c r="S100" s="31">
        <f t="shared" si="9"/>
        <v>6379.87</v>
      </c>
    </row>
    <row r="101" spans="1:19" ht="15.75" customHeight="1" x14ac:dyDescent="0.3">
      <c r="A101" s="5" t="s">
        <v>232</v>
      </c>
      <c r="B101" s="6">
        <v>45532</v>
      </c>
      <c r="C101" s="5" t="s">
        <v>233</v>
      </c>
      <c r="D101" s="5" t="s">
        <v>234</v>
      </c>
      <c r="E101" s="5" t="s">
        <v>54</v>
      </c>
      <c r="F101" s="5" t="s">
        <v>55</v>
      </c>
      <c r="G101" s="5" t="s">
        <v>21</v>
      </c>
      <c r="H101" s="5">
        <v>3</v>
      </c>
      <c r="I101" s="5">
        <v>149.99</v>
      </c>
      <c r="J101" s="5" t="s">
        <v>22</v>
      </c>
      <c r="K101" s="5" t="s">
        <v>52</v>
      </c>
      <c r="L101" s="5" t="s">
        <v>29</v>
      </c>
      <c r="M101" s="6">
        <v>45212</v>
      </c>
      <c r="N101" s="5">
        <v>449.97</v>
      </c>
      <c r="O101" s="28">
        <f t="shared" ca="1" si="6"/>
        <v>885</v>
      </c>
      <c r="P101" s="28">
        <f>MONTH(Table1[[#This Row],[Date]])</f>
        <v>8</v>
      </c>
      <c r="Q101" s="28">
        <f t="shared" si="7"/>
        <v>2024</v>
      </c>
      <c r="R101" s="30" t="str">
        <f t="shared" si="8"/>
        <v>Normal</v>
      </c>
      <c r="S101" s="31">
        <f t="shared" si="9"/>
        <v>1149.93</v>
      </c>
    </row>
    <row r="102" spans="1:19" ht="15.75" customHeight="1" x14ac:dyDescent="0.3">
      <c r="A102" s="5" t="s">
        <v>235</v>
      </c>
      <c r="B102" s="6">
        <v>45534</v>
      </c>
      <c r="C102" s="5" t="s">
        <v>236</v>
      </c>
      <c r="D102" s="5" t="s">
        <v>237</v>
      </c>
      <c r="E102" s="5" t="s">
        <v>82</v>
      </c>
      <c r="F102" s="5" t="s">
        <v>83</v>
      </c>
      <c r="G102" s="5" t="s">
        <v>21</v>
      </c>
      <c r="H102" s="5">
        <v>2</v>
      </c>
      <c r="I102" s="5">
        <v>699.99</v>
      </c>
      <c r="J102" s="5" t="s">
        <v>28</v>
      </c>
      <c r="K102" s="5" t="s">
        <v>42</v>
      </c>
      <c r="L102" s="5" t="s">
        <v>29</v>
      </c>
      <c r="M102" s="6">
        <v>44421</v>
      </c>
      <c r="N102" s="5">
        <v>1399.98</v>
      </c>
      <c r="O102" s="28">
        <f t="shared" ca="1" si="6"/>
        <v>1676</v>
      </c>
      <c r="P102" s="28">
        <f>MONTH(Table1[[#This Row],[Date]])</f>
        <v>8</v>
      </c>
      <c r="Q102" s="28">
        <f t="shared" si="7"/>
        <v>2024</v>
      </c>
      <c r="R102" s="30" t="str">
        <f t="shared" si="8"/>
        <v>High Value</v>
      </c>
      <c r="S102" s="31">
        <f t="shared" si="9"/>
        <v>6349.83</v>
      </c>
    </row>
    <row r="103" spans="1:19" ht="15.75" customHeight="1" x14ac:dyDescent="0.3">
      <c r="A103" s="5" t="s">
        <v>238</v>
      </c>
      <c r="B103" s="6">
        <v>45537</v>
      </c>
      <c r="C103" s="5" t="s">
        <v>233</v>
      </c>
      <c r="D103" s="5" t="s">
        <v>234</v>
      </c>
      <c r="E103" s="5" t="s">
        <v>19</v>
      </c>
      <c r="F103" s="5" t="s">
        <v>20</v>
      </c>
      <c r="G103" s="5" t="s">
        <v>21</v>
      </c>
      <c r="H103" s="5">
        <v>1</v>
      </c>
      <c r="I103" s="5">
        <v>249.99</v>
      </c>
      <c r="J103" s="5" t="s">
        <v>28</v>
      </c>
      <c r="K103" s="5" t="s">
        <v>52</v>
      </c>
      <c r="L103" s="5" t="s">
        <v>29</v>
      </c>
      <c r="M103" s="6">
        <v>44685</v>
      </c>
      <c r="N103" s="5">
        <v>249.99</v>
      </c>
      <c r="O103" s="28">
        <f t="shared" ca="1" si="6"/>
        <v>1412</v>
      </c>
      <c r="P103" s="28">
        <f>MONTH(Table1[[#This Row],[Date]])</f>
        <v>9</v>
      </c>
      <c r="Q103" s="28">
        <f t="shared" si="7"/>
        <v>2024</v>
      </c>
      <c r="R103" s="30" t="str">
        <f t="shared" si="8"/>
        <v>Normal</v>
      </c>
      <c r="S103" s="31">
        <f t="shared" si="9"/>
        <v>1149.93</v>
      </c>
    </row>
    <row r="104" spans="1:19" ht="15.75" customHeight="1" x14ac:dyDescent="0.3">
      <c r="A104" s="5" t="s">
        <v>239</v>
      </c>
      <c r="B104" s="6">
        <v>45537</v>
      </c>
      <c r="C104" s="5" t="s">
        <v>17</v>
      </c>
      <c r="D104" s="5" t="s">
        <v>18</v>
      </c>
      <c r="E104" s="5" t="s">
        <v>19</v>
      </c>
      <c r="F104" s="5" t="s">
        <v>20</v>
      </c>
      <c r="G104" s="5" t="s">
        <v>21</v>
      </c>
      <c r="H104" s="5">
        <v>1</v>
      </c>
      <c r="I104" s="5">
        <v>249.99</v>
      </c>
      <c r="J104" s="5" t="s">
        <v>59</v>
      </c>
      <c r="K104" s="5" t="s">
        <v>42</v>
      </c>
      <c r="L104" s="5" t="s">
        <v>29</v>
      </c>
      <c r="M104" s="6">
        <v>45332</v>
      </c>
      <c r="N104" s="5">
        <v>249.99</v>
      </c>
      <c r="O104" s="28">
        <f t="shared" ca="1" si="6"/>
        <v>765</v>
      </c>
      <c r="P104" s="28">
        <f>MONTH(Table1[[#This Row],[Date]])</f>
        <v>9</v>
      </c>
      <c r="Q104" s="28">
        <f t="shared" si="7"/>
        <v>2024</v>
      </c>
      <c r="R104" s="30" t="str">
        <f t="shared" si="8"/>
        <v>Normal</v>
      </c>
      <c r="S104" s="31">
        <f t="shared" si="9"/>
        <v>8309.739999999998</v>
      </c>
    </row>
    <row r="105" spans="1:19" ht="15.75" customHeight="1" x14ac:dyDescent="0.3">
      <c r="A105" s="5" t="s">
        <v>240</v>
      </c>
      <c r="B105" s="6">
        <v>45538</v>
      </c>
      <c r="C105" s="5" t="s">
        <v>228</v>
      </c>
      <c r="D105" s="5" t="s">
        <v>229</v>
      </c>
      <c r="E105" s="5" t="s">
        <v>82</v>
      </c>
      <c r="F105" s="5" t="s">
        <v>83</v>
      </c>
      <c r="G105" s="5" t="s">
        <v>21</v>
      </c>
      <c r="H105" s="5">
        <v>2</v>
      </c>
      <c r="I105" s="5">
        <v>699.99</v>
      </c>
      <c r="J105" s="5" t="s">
        <v>59</v>
      </c>
      <c r="K105" s="5" t="s">
        <v>23</v>
      </c>
      <c r="L105" s="5" t="s">
        <v>29</v>
      </c>
      <c r="M105" s="6">
        <v>44870</v>
      </c>
      <c r="N105" s="5">
        <v>1399.98</v>
      </c>
      <c r="O105" s="28">
        <f t="shared" ca="1" si="6"/>
        <v>1227</v>
      </c>
      <c r="P105" s="28">
        <f>MONTH(Table1[[#This Row],[Date]])</f>
        <v>9</v>
      </c>
      <c r="Q105" s="28">
        <f t="shared" si="7"/>
        <v>2024</v>
      </c>
      <c r="R105" s="30" t="str">
        <f t="shared" si="8"/>
        <v>High Value</v>
      </c>
      <c r="S105" s="31">
        <f t="shared" si="9"/>
        <v>6989.7699999999986</v>
      </c>
    </row>
    <row r="106" spans="1:19" ht="15.75" customHeight="1" x14ac:dyDescent="0.3">
      <c r="A106" s="5" t="s">
        <v>241</v>
      </c>
      <c r="B106" s="6">
        <v>45541</v>
      </c>
      <c r="C106" s="5" t="s">
        <v>140</v>
      </c>
      <c r="D106" s="5" t="s">
        <v>141</v>
      </c>
      <c r="E106" s="5" t="s">
        <v>33</v>
      </c>
      <c r="F106" s="5" t="s">
        <v>34</v>
      </c>
      <c r="G106" s="5" t="s">
        <v>35</v>
      </c>
      <c r="H106" s="5">
        <v>3</v>
      </c>
      <c r="I106" s="5">
        <v>59.99</v>
      </c>
      <c r="J106" s="5" t="s">
        <v>28</v>
      </c>
      <c r="K106" s="5" t="s">
        <v>23</v>
      </c>
      <c r="L106" s="5" t="s">
        <v>29</v>
      </c>
      <c r="M106" s="6">
        <v>44717</v>
      </c>
      <c r="N106" s="5">
        <v>179.97</v>
      </c>
      <c r="O106" s="28">
        <f t="shared" ca="1" si="6"/>
        <v>1380</v>
      </c>
      <c r="P106" s="28">
        <f>MONTH(Table1[[#This Row],[Date]])</f>
        <v>9</v>
      </c>
      <c r="Q106" s="28">
        <f t="shared" si="7"/>
        <v>2024</v>
      </c>
      <c r="R106" s="30" t="str">
        <f t="shared" si="8"/>
        <v>Normal</v>
      </c>
      <c r="S106" s="31">
        <f t="shared" si="9"/>
        <v>2649.83</v>
      </c>
    </row>
    <row r="107" spans="1:19" ht="15.75" customHeight="1" x14ac:dyDescent="0.3">
      <c r="A107" s="5" t="s">
        <v>242</v>
      </c>
      <c r="B107" s="6">
        <v>45544</v>
      </c>
      <c r="C107" s="5" t="s">
        <v>134</v>
      </c>
      <c r="D107" s="5" t="s">
        <v>135</v>
      </c>
      <c r="E107" s="5" t="s">
        <v>33</v>
      </c>
      <c r="F107" s="5" t="s">
        <v>34</v>
      </c>
      <c r="G107" s="5" t="s">
        <v>35</v>
      </c>
      <c r="H107" s="5">
        <v>3</v>
      </c>
      <c r="I107" s="5">
        <v>59.99</v>
      </c>
      <c r="J107" s="5" t="s">
        <v>36</v>
      </c>
      <c r="K107" s="5" t="s">
        <v>65</v>
      </c>
      <c r="L107" s="5" t="s">
        <v>38</v>
      </c>
      <c r="M107" s="6">
        <v>44748</v>
      </c>
      <c r="N107" s="5">
        <v>179.97</v>
      </c>
      <c r="O107" s="28">
        <f t="shared" ca="1" si="6"/>
        <v>1349</v>
      </c>
      <c r="P107" s="28">
        <f>MONTH(Table1[[#This Row],[Date]])</f>
        <v>9</v>
      </c>
      <c r="Q107" s="28">
        <f t="shared" si="7"/>
        <v>2024</v>
      </c>
      <c r="R107" s="30" t="str">
        <f t="shared" si="8"/>
        <v>Normal</v>
      </c>
      <c r="S107" s="31">
        <f t="shared" si="9"/>
        <v>1229.8800000000001</v>
      </c>
    </row>
    <row r="108" spans="1:19" ht="15.75" customHeight="1" x14ac:dyDescent="0.3">
      <c r="A108" s="5" t="s">
        <v>243</v>
      </c>
      <c r="B108" s="6">
        <v>45544</v>
      </c>
      <c r="C108" s="5" t="s">
        <v>143</v>
      </c>
      <c r="D108" s="5" t="s">
        <v>144</v>
      </c>
      <c r="E108" s="5" t="s">
        <v>116</v>
      </c>
      <c r="F108" s="5" t="s">
        <v>117</v>
      </c>
      <c r="G108" s="5" t="s">
        <v>35</v>
      </c>
      <c r="H108" s="5">
        <v>4</v>
      </c>
      <c r="I108" s="5">
        <v>79.989999999999995</v>
      </c>
      <c r="J108" s="5" t="s">
        <v>22</v>
      </c>
      <c r="K108" s="5" t="s">
        <v>42</v>
      </c>
      <c r="L108" s="5" t="s">
        <v>24</v>
      </c>
      <c r="M108" s="6">
        <v>44530</v>
      </c>
      <c r="N108" s="5">
        <v>319.95999999999998</v>
      </c>
      <c r="O108" s="28">
        <f t="shared" ca="1" si="6"/>
        <v>1567</v>
      </c>
      <c r="P108" s="28">
        <f>MONTH(Table1[[#This Row],[Date]])</f>
        <v>9</v>
      </c>
      <c r="Q108" s="28">
        <f t="shared" si="7"/>
        <v>2024</v>
      </c>
      <c r="R108" s="30" t="str">
        <f t="shared" si="8"/>
        <v>Normal</v>
      </c>
      <c r="S108" s="31">
        <f t="shared" si="9"/>
        <v>4739.8500000000004</v>
      </c>
    </row>
    <row r="109" spans="1:19" ht="15.75" customHeight="1" x14ac:dyDescent="0.3">
      <c r="A109" s="5" t="s">
        <v>244</v>
      </c>
      <c r="B109" s="6">
        <v>45545</v>
      </c>
      <c r="C109" s="5" t="s">
        <v>57</v>
      </c>
      <c r="D109" s="5" t="s">
        <v>58</v>
      </c>
      <c r="E109" s="5" t="s">
        <v>116</v>
      </c>
      <c r="F109" s="5" t="s">
        <v>117</v>
      </c>
      <c r="G109" s="5" t="s">
        <v>35</v>
      </c>
      <c r="H109" s="5">
        <v>1</v>
      </c>
      <c r="I109" s="5">
        <v>79.989999999999995</v>
      </c>
      <c r="J109" s="5" t="s">
        <v>22</v>
      </c>
      <c r="K109" s="5" t="s">
        <v>52</v>
      </c>
      <c r="L109" s="5" t="s">
        <v>24</v>
      </c>
      <c r="M109" s="6">
        <v>44693</v>
      </c>
      <c r="N109" s="5">
        <v>79.989999999999995</v>
      </c>
      <c r="O109" s="28">
        <f t="shared" ca="1" si="6"/>
        <v>1404</v>
      </c>
      <c r="P109" s="28">
        <f>MONTH(Table1[[#This Row],[Date]])</f>
        <v>9</v>
      </c>
      <c r="Q109" s="28">
        <f t="shared" si="7"/>
        <v>2024</v>
      </c>
      <c r="R109" s="30" t="str">
        <f t="shared" si="8"/>
        <v>Normal</v>
      </c>
      <c r="S109" s="31">
        <f t="shared" si="9"/>
        <v>5089.7300000000005</v>
      </c>
    </row>
    <row r="110" spans="1:19" ht="15.75" customHeight="1" x14ac:dyDescent="0.3">
      <c r="A110" s="5" t="s">
        <v>245</v>
      </c>
      <c r="B110" s="6">
        <v>45547</v>
      </c>
      <c r="C110" s="5" t="s">
        <v>50</v>
      </c>
      <c r="D110" s="5" t="s">
        <v>51</v>
      </c>
      <c r="E110" s="5" t="s">
        <v>107</v>
      </c>
      <c r="F110" s="5" t="s">
        <v>108</v>
      </c>
      <c r="G110" s="5" t="s">
        <v>48</v>
      </c>
      <c r="H110" s="5">
        <v>3</v>
      </c>
      <c r="I110" s="5">
        <v>299.99</v>
      </c>
      <c r="J110" s="5" t="s">
        <v>28</v>
      </c>
      <c r="K110" s="5" t="s">
        <v>23</v>
      </c>
      <c r="L110" s="5" t="s">
        <v>29</v>
      </c>
      <c r="M110" s="6">
        <v>44494</v>
      </c>
      <c r="N110" s="5">
        <v>899.97</v>
      </c>
      <c r="O110" s="28">
        <f t="shared" ca="1" si="6"/>
        <v>1603</v>
      </c>
      <c r="P110" s="28">
        <f>MONTH(Table1[[#This Row],[Date]])</f>
        <v>9</v>
      </c>
      <c r="Q110" s="28">
        <f t="shared" si="7"/>
        <v>2024</v>
      </c>
      <c r="R110" s="30" t="str">
        <f t="shared" si="8"/>
        <v>Normal</v>
      </c>
      <c r="S110" s="31">
        <f t="shared" si="9"/>
        <v>8269.7900000000009</v>
      </c>
    </row>
    <row r="111" spans="1:19" ht="15.75" customHeight="1" x14ac:dyDescent="0.3">
      <c r="A111" s="5" t="s">
        <v>246</v>
      </c>
      <c r="B111" s="6">
        <v>45548</v>
      </c>
      <c r="C111" s="5" t="s">
        <v>40</v>
      </c>
      <c r="D111" s="5" t="s">
        <v>41</v>
      </c>
      <c r="E111" s="5" t="s">
        <v>119</v>
      </c>
      <c r="F111" s="5" t="s">
        <v>120</v>
      </c>
      <c r="G111" s="5" t="s">
        <v>21</v>
      </c>
      <c r="H111" s="5">
        <v>2</v>
      </c>
      <c r="I111" s="5">
        <v>89.99</v>
      </c>
      <c r="J111" s="5" t="s">
        <v>28</v>
      </c>
      <c r="K111" s="5" t="s">
        <v>37</v>
      </c>
      <c r="L111" s="5" t="s">
        <v>29</v>
      </c>
      <c r="M111" s="6">
        <v>44641</v>
      </c>
      <c r="N111" s="5">
        <v>179.98</v>
      </c>
      <c r="O111" s="28">
        <f t="shared" ca="1" si="6"/>
        <v>1456</v>
      </c>
      <c r="P111" s="28">
        <f>MONTH(Table1[[#This Row],[Date]])</f>
        <v>9</v>
      </c>
      <c r="Q111" s="28">
        <f t="shared" si="7"/>
        <v>2024</v>
      </c>
      <c r="R111" s="30" t="str">
        <f t="shared" si="8"/>
        <v>Normal</v>
      </c>
      <c r="S111" s="31">
        <f t="shared" si="9"/>
        <v>4309.8099999999995</v>
      </c>
    </row>
    <row r="112" spans="1:19" ht="15.75" customHeight="1" x14ac:dyDescent="0.3">
      <c r="A112" s="5" t="s">
        <v>247</v>
      </c>
      <c r="B112" s="6">
        <v>45550</v>
      </c>
      <c r="C112" s="5" t="s">
        <v>248</v>
      </c>
      <c r="D112" s="5" t="s">
        <v>249</v>
      </c>
      <c r="E112" s="5" t="s">
        <v>54</v>
      </c>
      <c r="F112" s="5" t="s">
        <v>55</v>
      </c>
      <c r="G112" s="5" t="s">
        <v>21</v>
      </c>
      <c r="H112" s="5">
        <v>4</v>
      </c>
      <c r="I112" s="5">
        <v>149.99</v>
      </c>
      <c r="J112" s="5" t="s">
        <v>22</v>
      </c>
      <c r="K112" s="5" t="s">
        <v>42</v>
      </c>
      <c r="L112" s="5" t="s">
        <v>24</v>
      </c>
      <c r="M112" s="6">
        <v>44909</v>
      </c>
      <c r="N112" s="5">
        <v>599.96</v>
      </c>
      <c r="O112" s="28">
        <f t="shared" ca="1" si="6"/>
        <v>1188</v>
      </c>
      <c r="P112" s="28">
        <f>MONTH(Table1[[#This Row],[Date]])</f>
        <v>9</v>
      </c>
      <c r="Q112" s="28">
        <f t="shared" si="7"/>
        <v>2024</v>
      </c>
      <c r="R112" s="30" t="str">
        <f t="shared" si="8"/>
        <v>Normal</v>
      </c>
      <c r="S112" s="31">
        <f t="shared" si="9"/>
        <v>1749.92</v>
      </c>
    </row>
    <row r="113" spans="1:19" ht="15.75" customHeight="1" x14ac:dyDescent="0.3">
      <c r="A113" s="5" t="s">
        <v>250</v>
      </c>
      <c r="B113" s="6">
        <v>45551</v>
      </c>
      <c r="C113" s="5" t="s">
        <v>67</v>
      </c>
      <c r="D113" s="5" t="s">
        <v>68</v>
      </c>
      <c r="E113" s="5" t="s">
        <v>19</v>
      </c>
      <c r="F113" s="5" t="s">
        <v>20</v>
      </c>
      <c r="G113" s="5" t="s">
        <v>21</v>
      </c>
      <c r="H113" s="5">
        <v>2</v>
      </c>
      <c r="I113" s="5">
        <v>249.99</v>
      </c>
      <c r="J113" s="5" t="s">
        <v>36</v>
      </c>
      <c r="K113" s="5" t="s">
        <v>37</v>
      </c>
      <c r="L113" s="5" t="s">
        <v>24</v>
      </c>
      <c r="M113" s="6">
        <v>44993</v>
      </c>
      <c r="N113" s="5">
        <v>499.98</v>
      </c>
      <c r="O113" s="28">
        <f t="shared" ca="1" si="6"/>
        <v>1104</v>
      </c>
      <c r="P113" s="28">
        <f>MONTH(Table1[[#This Row],[Date]])</f>
        <v>9</v>
      </c>
      <c r="Q113" s="28">
        <f t="shared" si="7"/>
        <v>2024</v>
      </c>
      <c r="R113" s="30" t="str">
        <f t="shared" si="8"/>
        <v>Normal</v>
      </c>
      <c r="S113" s="31">
        <f t="shared" si="9"/>
        <v>8009.7699999999995</v>
      </c>
    </row>
    <row r="114" spans="1:19" ht="15.75" customHeight="1" x14ac:dyDescent="0.3">
      <c r="A114" s="5" t="s">
        <v>251</v>
      </c>
      <c r="B114" s="6">
        <v>45551</v>
      </c>
      <c r="C114" s="5" t="s">
        <v>156</v>
      </c>
      <c r="D114" s="5" t="s">
        <v>157</v>
      </c>
      <c r="E114" s="5" t="s">
        <v>128</v>
      </c>
      <c r="F114" s="5" t="s">
        <v>129</v>
      </c>
      <c r="G114" s="5" t="s">
        <v>48</v>
      </c>
      <c r="H114" s="5">
        <v>4</v>
      </c>
      <c r="I114" s="5">
        <v>199.99</v>
      </c>
      <c r="J114" s="5" t="s">
        <v>59</v>
      </c>
      <c r="K114" s="5" t="s">
        <v>65</v>
      </c>
      <c r="L114" s="5" t="s">
        <v>24</v>
      </c>
      <c r="M114" s="6">
        <v>44458</v>
      </c>
      <c r="N114" s="5">
        <v>799.96</v>
      </c>
      <c r="O114" s="28">
        <f t="shared" ca="1" si="6"/>
        <v>1639</v>
      </c>
      <c r="P114" s="28">
        <f>MONTH(Table1[[#This Row],[Date]])</f>
        <v>9</v>
      </c>
      <c r="Q114" s="28">
        <f t="shared" si="7"/>
        <v>2024</v>
      </c>
      <c r="R114" s="30" t="str">
        <f t="shared" si="8"/>
        <v>Normal</v>
      </c>
      <c r="S114" s="31">
        <f t="shared" si="9"/>
        <v>5499.8099999999995</v>
      </c>
    </row>
    <row r="115" spans="1:19" ht="15.75" customHeight="1" x14ac:dyDescent="0.3">
      <c r="A115" s="5" t="s">
        <v>252</v>
      </c>
      <c r="B115" s="6">
        <v>45554</v>
      </c>
      <c r="C115" s="5" t="s">
        <v>149</v>
      </c>
      <c r="D115" s="5" t="s">
        <v>150</v>
      </c>
      <c r="E115" s="5" t="s">
        <v>119</v>
      </c>
      <c r="F115" s="5" t="s">
        <v>120</v>
      </c>
      <c r="G115" s="5" t="s">
        <v>21</v>
      </c>
      <c r="H115" s="5">
        <v>5</v>
      </c>
      <c r="I115" s="5">
        <v>89.99</v>
      </c>
      <c r="J115" s="5" t="s">
        <v>28</v>
      </c>
      <c r="K115" s="5" t="s">
        <v>65</v>
      </c>
      <c r="L115" s="5" t="s">
        <v>29</v>
      </c>
      <c r="M115" s="6">
        <v>44446</v>
      </c>
      <c r="N115" s="5">
        <v>449.95</v>
      </c>
      <c r="O115" s="28">
        <f t="shared" ca="1" si="6"/>
        <v>1651</v>
      </c>
      <c r="P115" s="28">
        <f>MONTH(Table1[[#This Row],[Date]])</f>
        <v>9</v>
      </c>
      <c r="Q115" s="28">
        <f t="shared" si="7"/>
        <v>2024</v>
      </c>
      <c r="R115" s="30" t="str">
        <f t="shared" si="8"/>
        <v>Normal</v>
      </c>
      <c r="S115" s="31">
        <f t="shared" si="9"/>
        <v>7309.7999999999993</v>
      </c>
    </row>
    <row r="116" spans="1:19" ht="15.75" customHeight="1" x14ac:dyDescent="0.3">
      <c r="A116" s="5" t="s">
        <v>253</v>
      </c>
      <c r="B116" s="6">
        <v>45554</v>
      </c>
      <c r="C116" s="5" t="s">
        <v>254</v>
      </c>
      <c r="D116" s="5" t="s">
        <v>255</v>
      </c>
      <c r="E116" s="5" t="s">
        <v>54</v>
      </c>
      <c r="F116" s="5" t="s">
        <v>55</v>
      </c>
      <c r="G116" s="5" t="s">
        <v>21</v>
      </c>
      <c r="H116" s="5">
        <v>1</v>
      </c>
      <c r="I116" s="5">
        <v>149.99</v>
      </c>
      <c r="J116" s="5" t="s">
        <v>36</v>
      </c>
      <c r="K116" s="5" t="s">
        <v>65</v>
      </c>
      <c r="L116" s="5" t="s">
        <v>38</v>
      </c>
      <c r="M116" s="6">
        <v>44482</v>
      </c>
      <c r="N116" s="5">
        <v>149.99</v>
      </c>
      <c r="O116" s="28">
        <f t="shared" ca="1" si="6"/>
        <v>1615</v>
      </c>
      <c r="P116" s="28">
        <f>MONTH(Table1[[#This Row],[Date]])</f>
        <v>9</v>
      </c>
      <c r="Q116" s="28">
        <f t="shared" si="7"/>
        <v>2024</v>
      </c>
      <c r="R116" s="30" t="str">
        <f t="shared" si="8"/>
        <v>Normal</v>
      </c>
      <c r="S116" s="31">
        <f t="shared" si="9"/>
        <v>4749.91</v>
      </c>
    </row>
    <row r="117" spans="1:19" ht="15.75" customHeight="1" x14ac:dyDescent="0.3">
      <c r="A117" s="5" t="s">
        <v>256</v>
      </c>
      <c r="B117" s="6">
        <v>45554</v>
      </c>
      <c r="C117" s="5" t="s">
        <v>74</v>
      </c>
      <c r="D117" s="5" t="s">
        <v>75</v>
      </c>
      <c r="E117" s="5" t="s">
        <v>82</v>
      </c>
      <c r="F117" s="5" t="s">
        <v>83</v>
      </c>
      <c r="G117" s="5" t="s">
        <v>21</v>
      </c>
      <c r="H117" s="5">
        <v>4</v>
      </c>
      <c r="I117" s="5">
        <v>699.99</v>
      </c>
      <c r="J117" s="5" t="s">
        <v>36</v>
      </c>
      <c r="K117" s="5" t="s">
        <v>37</v>
      </c>
      <c r="L117" s="5" t="s">
        <v>24</v>
      </c>
      <c r="M117" s="6">
        <v>44618</v>
      </c>
      <c r="N117" s="5">
        <v>2799.96</v>
      </c>
      <c r="O117" s="28">
        <f t="shared" ca="1" si="6"/>
        <v>1479</v>
      </c>
      <c r="P117" s="28">
        <f>MONTH(Table1[[#This Row],[Date]])</f>
        <v>9</v>
      </c>
      <c r="Q117" s="28">
        <f t="shared" si="7"/>
        <v>2024</v>
      </c>
      <c r="R117" s="30" t="str">
        <f t="shared" si="8"/>
        <v>High Value</v>
      </c>
      <c r="S117" s="31">
        <f t="shared" si="9"/>
        <v>5949.85</v>
      </c>
    </row>
    <row r="118" spans="1:19" ht="15.75" customHeight="1" x14ac:dyDescent="0.3">
      <c r="A118" s="5" t="s">
        <v>257</v>
      </c>
      <c r="B118" s="6">
        <v>45559</v>
      </c>
      <c r="C118" s="5" t="s">
        <v>236</v>
      </c>
      <c r="D118" s="5" t="s">
        <v>237</v>
      </c>
      <c r="E118" s="5" t="s">
        <v>63</v>
      </c>
      <c r="F118" s="5" t="s">
        <v>64</v>
      </c>
      <c r="G118" s="5" t="s">
        <v>21</v>
      </c>
      <c r="H118" s="5">
        <v>3</v>
      </c>
      <c r="I118" s="5">
        <v>899.99</v>
      </c>
      <c r="J118" s="5" t="s">
        <v>28</v>
      </c>
      <c r="K118" s="5" t="s">
        <v>42</v>
      </c>
      <c r="L118" s="5" t="s">
        <v>38</v>
      </c>
      <c r="M118" s="6">
        <v>45157</v>
      </c>
      <c r="N118" s="5">
        <v>2699.97</v>
      </c>
      <c r="O118" s="28">
        <f t="shared" ca="1" si="6"/>
        <v>940</v>
      </c>
      <c r="P118" s="28">
        <f>MONTH(Table1[[#This Row],[Date]])</f>
        <v>9</v>
      </c>
      <c r="Q118" s="28">
        <f t="shared" si="7"/>
        <v>2024</v>
      </c>
      <c r="R118" s="30" t="str">
        <f t="shared" si="8"/>
        <v>High Value</v>
      </c>
      <c r="S118" s="31">
        <f t="shared" si="9"/>
        <v>6349.83</v>
      </c>
    </row>
    <row r="119" spans="1:19" ht="15.75" customHeight="1" x14ac:dyDescent="0.3">
      <c r="A119" s="5" t="s">
        <v>258</v>
      </c>
      <c r="B119" s="6">
        <v>45560</v>
      </c>
      <c r="C119" s="5" t="s">
        <v>114</v>
      </c>
      <c r="D119" s="5" t="s">
        <v>115</v>
      </c>
      <c r="E119" s="5" t="s">
        <v>46</v>
      </c>
      <c r="F119" s="5" t="s">
        <v>47</v>
      </c>
      <c r="G119" s="5" t="s">
        <v>48</v>
      </c>
      <c r="H119" s="5">
        <v>3</v>
      </c>
      <c r="I119" s="5">
        <v>149.99</v>
      </c>
      <c r="J119" s="5" t="s">
        <v>36</v>
      </c>
      <c r="K119" s="5" t="s">
        <v>65</v>
      </c>
      <c r="L119" s="5" t="s">
        <v>24</v>
      </c>
      <c r="M119" s="6">
        <v>44886</v>
      </c>
      <c r="N119" s="5">
        <v>449.97</v>
      </c>
      <c r="O119" s="28">
        <f t="shared" ca="1" si="6"/>
        <v>1211</v>
      </c>
      <c r="P119" s="28">
        <f>MONTH(Table1[[#This Row],[Date]])</f>
        <v>9</v>
      </c>
      <c r="Q119" s="28">
        <f t="shared" si="7"/>
        <v>2024</v>
      </c>
      <c r="R119" s="30" t="str">
        <f t="shared" si="8"/>
        <v>Normal</v>
      </c>
      <c r="S119" s="31">
        <f t="shared" si="9"/>
        <v>1289.9000000000001</v>
      </c>
    </row>
    <row r="120" spans="1:19" ht="15.75" customHeight="1" x14ac:dyDescent="0.3">
      <c r="A120" s="5" t="s">
        <v>259</v>
      </c>
      <c r="B120" s="6">
        <v>45563</v>
      </c>
      <c r="C120" s="5" t="s">
        <v>101</v>
      </c>
      <c r="D120" s="5" t="s">
        <v>102</v>
      </c>
      <c r="E120" s="5" t="s">
        <v>107</v>
      </c>
      <c r="F120" s="5" t="s">
        <v>108</v>
      </c>
      <c r="G120" s="5" t="s">
        <v>48</v>
      </c>
      <c r="H120" s="5">
        <v>2</v>
      </c>
      <c r="I120" s="5">
        <v>299.99</v>
      </c>
      <c r="J120" s="5" t="s">
        <v>59</v>
      </c>
      <c r="K120" s="5" t="s">
        <v>23</v>
      </c>
      <c r="L120" s="5" t="s">
        <v>24</v>
      </c>
      <c r="M120" s="6">
        <v>44569</v>
      </c>
      <c r="N120" s="5">
        <v>599.98</v>
      </c>
      <c r="O120" s="28">
        <f t="shared" ca="1" si="6"/>
        <v>1528</v>
      </c>
      <c r="P120" s="28">
        <f>MONTH(Table1[[#This Row],[Date]])</f>
        <v>9</v>
      </c>
      <c r="Q120" s="28">
        <f t="shared" si="7"/>
        <v>2024</v>
      </c>
      <c r="R120" s="30" t="str">
        <f t="shared" si="8"/>
        <v>Normal</v>
      </c>
      <c r="S120" s="31">
        <f t="shared" si="9"/>
        <v>9799.73</v>
      </c>
    </row>
    <row r="121" spans="1:19" ht="15.75" customHeight="1" x14ac:dyDescent="0.3">
      <c r="A121" s="5" t="s">
        <v>260</v>
      </c>
      <c r="B121" s="6">
        <v>45564</v>
      </c>
      <c r="C121" s="5" t="s">
        <v>261</v>
      </c>
      <c r="D121" s="5" t="s">
        <v>262</v>
      </c>
      <c r="E121" s="5" t="s">
        <v>128</v>
      </c>
      <c r="F121" s="5" t="s">
        <v>129</v>
      </c>
      <c r="G121" s="5" t="s">
        <v>48</v>
      </c>
      <c r="H121" s="5">
        <v>1</v>
      </c>
      <c r="I121" s="5">
        <v>199.99</v>
      </c>
      <c r="J121" s="5" t="s">
        <v>59</v>
      </c>
      <c r="K121" s="5" t="s">
        <v>65</v>
      </c>
      <c r="L121" s="5" t="s">
        <v>38</v>
      </c>
      <c r="M121" s="6">
        <v>44953</v>
      </c>
      <c r="N121" s="5">
        <v>199.99</v>
      </c>
      <c r="O121" s="28">
        <f t="shared" ca="1" si="6"/>
        <v>1144</v>
      </c>
      <c r="P121" s="28">
        <f>MONTH(Table1[[#This Row],[Date]])</f>
        <v>9</v>
      </c>
      <c r="Q121" s="28">
        <f t="shared" si="7"/>
        <v>2024</v>
      </c>
      <c r="R121" s="30" t="str">
        <f t="shared" si="8"/>
        <v>Normal</v>
      </c>
      <c r="S121" s="31">
        <f t="shared" si="9"/>
        <v>739.93000000000006</v>
      </c>
    </row>
    <row r="122" spans="1:19" ht="15.75" customHeight="1" x14ac:dyDescent="0.3">
      <c r="A122" s="5" t="s">
        <v>263</v>
      </c>
      <c r="B122" s="6">
        <v>45566</v>
      </c>
      <c r="C122" s="5" t="s">
        <v>44</v>
      </c>
      <c r="D122" s="5" t="s">
        <v>45</v>
      </c>
      <c r="E122" s="5" t="s">
        <v>107</v>
      </c>
      <c r="F122" s="5" t="s">
        <v>108</v>
      </c>
      <c r="G122" s="5" t="s">
        <v>48</v>
      </c>
      <c r="H122" s="5">
        <v>4</v>
      </c>
      <c r="I122" s="5">
        <v>299.99</v>
      </c>
      <c r="J122" s="5" t="s">
        <v>22</v>
      </c>
      <c r="K122" s="5" t="s">
        <v>23</v>
      </c>
      <c r="L122" s="5" t="s">
        <v>29</v>
      </c>
      <c r="M122" s="6">
        <v>44460</v>
      </c>
      <c r="N122" s="5">
        <v>1199.96</v>
      </c>
      <c r="O122" s="28">
        <f t="shared" ca="1" si="6"/>
        <v>1637</v>
      </c>
      <c r="P122" s="28">
        <f>MONTH(Table1[[#This Row],[Date]])</f>
        <v>10</v>
      </c>
      <c r="Q122" s="28">
        <f t="shared" si="7"/>
        <v>2024</v>
      </c>
      <c r="R122" s="30" t="str">
        <f t="shared" si="8"/>
        <v>High Value</v>
      </c>
      <c r="S122" s="31">
        <f t="shared" si="9"/>
        <v>6169.7400000000007</v>
      </c>
    </row>
    <row r="123" spans="1:19" ht="15.75" customHeight="1" x14ac:dyDescent="0.3">
      <c r="A123" s="5" t="s">
        <v>264</v>
      </c>
      <c r="B123" s="6">
        <v>45572</v>
      </c>
      <c r="C123" s="5" t="s">
        <v>91</v>
      </c>
      <c r="D123" s="5" t="s">
        <v>92</v>
      </c>
      <c r="E123" s="5" t="s">
        <v>33</v>
      </c>
      <c r="F123" s="5" t="s">
        <v>34</v>
      </c>
      <c r="G123" s="5" t="s">
        <v>35</v>
      </c>
      <c r="H123" s="5">
        <v>2</v>
      </c>
      <c r="I123" s="5">
        <v>59.99</v>
      </c>
      <c r="J123" s="5" t="s">
        <v>28</v>
      </c>
      <c r="K123" s="5" t="s">
        <v>23</v>
      </c>
      <c r="L123" s="5" t="s">
        <v>24</v>
      </c>
      <c r="M123" s="6">
        <v>44579</v>
      </c>
      <c r="N123" s="5">
        <v>119.98</v>
      </c>
      <c r="O123" s="28">
        <f t="shared" ca="1" si="6"/>
        <v>1518</v>
      </c>
      <c r="P123" s="28">
        <f>MONTH(Table1[[#This Row],[Date]])</f>
        <v>10</v>
      </c>
      <c r="Q123" s="28">
        <f t="shared" si="7"/>
        <v>2024</v>
      </c>
      <c r="R123" s="30" t="str">
        <f t="shared" si="8"/>
        <v>Normal</v>
      </c>
      <c r="S123" s="31">
        <f t="shared" si="9"/>
        <v>1909.93</v>
      </c>
    </row>
    <row r="124" spans="1:19" ht="15.75" customHeight="1" x14ac:dyDescent="0.3">
      <c r="A124" s="5" t="s">
        <v>265</v>
      </c>
      <c r="B124" s="6">
        <v>45572</v>
      </c>
      <c r="C124" s="5" t="s">
        <v>236</v>
      </c>
      <c r="D124" s="5" t="s">
        <v>237</v>
      </c>
      <c r="E124" s="5" t="s">
        <v>54</v>
      </c>
      <c r="F124" s="5" t="s">
        <v>55</v>
      </c>
      <c r="G124" s="5" t="s">
        <v>21</v>
      </c>
      <c r="H124" s="5">
        <v>4</v>
      </c>
      <c r="I124" s="5">
        <v>149.99</v>
      </c>
      <c r="J124" s="5" t="s">
        <v>28</v>
      </c>
      <c r="K124" s="5" t="s">
        <v>42</v>
      </c>
      <c r="L124" s="5" t="s">
        <v>29</v>
      </c>
      <c r="M124" s="6">
        <v>45076</v>
      </c>
      <c r="N124" s="5">
        <v>599.96</v>
      </c>
      <c r="O124" s="28">
        <f t="shared" ca="1" si="6"/>
        <v>1021</v>
      </c>
      <c r="P124" s="28">
        <f>MONTH(Table1[[#This Row],[Date]])</f>
        <v>10</v>
      </c>
      <c r="Q124" s="28">
        <f t="shared" si="7"/>
        <v>2024</v>
      </c>
      <c r="R124" s="30" t="str">
        <f t="shared" si="8"/>
        <v>Normal</v>
      </c>
      <c r="S124" s="31">
        <f t="shared" si="9"/>
        <v>6349.83</v>
      </c>
    </row>
    <row r="125" spans="1:19" ht="15.75" customHeight="1" x14ac:dyDescent="0.3">
      <c r="A125" s="5" t="s">
        <v>266</v>
      </c>
      <c r="B125" s="6">
        <v>45573</v>
      </c>
      <c r="C125" s="5" t="s">
        <v>213</v>
      </c>
      <c r="D125" s="5" t="s">
        <v>214</v>
      </c>
      <c r="E125" s="5" t="s">
        <v>82</v>
      </c>
      <c r="F125" s="5" t="s">
        <v>83</v>
      </c>
      <c r="G125" s="5" t="s">
        <v>21</v>
      </c>
      <c r="H125" s="5">
        <v>2</v>
      </c>
      <c r="I125" s="5">
        <v>699.99</v>
      </c>
      <c r="J125" s="5" t="s">
        <v>59</v>
      </c>
      <c r="K125" s="5" t="s">
        <v>65</v>
      </c>
      <c r="L125" s="5" t="s">
        <v>29</v>
      </c>
      <c r="M125" s="6">
        <v>45274</v>
      </c>
      <c r="N125" s="5">
        <v>1399.98</v>
      </c>
      <c r="O125" s="28">
        <f t="shared" ca="1" si="6"/>
        <v>823</v>
      </c>
      <c r="P125" s="28">
        <f>MONTH(Table1[[#This Row],[Date]])</f>
        <v>10</v>
      </c>
      <c r="Q125" s="28">
        <f t="shared" si="7"/>
        <v>2024</v>
      </c>
      <c r="R125" s="30" t="str">
        <f t="shared" si="8"/>
        <v>High Value</v>
      </c>
      <c r="S125" s="31">
        <f t="shared" si="9"/>
        <v>3649.8599999999997</v>
      </c>
    </row>
    <row r="126" spans="1:19" ht="15.75" customHeight="1" x14ac:dyDescent="0.3">
      <c r="A126" s="5" t="s">
        <v>267</v>
      </c>
      <c r="B126" s="6">
        <v>45573</v>
      </c>
      <c r="C126" s="5" t="s">
        <v>233</v>
      </c>
      <c r="D126" s="5" t="s">
        <v>234</v>
      </c>
      <c r="E126" s="5" t="s">
        <v>46</v>
      </c>
      <c r="F126" s="5" t="s">
        <v>47</v>
      </c>
      <c r="G126" s="5" t="s">
        <v>48</v>
      </c>
      <c r="H126" s="5">
        <v>3</v>
      </c>
      <c r="I126" s="5">
        <v>149.99</v>
      </c>
      <c r="J126" s="5" t="s">
        <v>28</v>
      </c>
      <c r="K126" s="5" t="s">
        <v>37</v>
      </c>
      <c r="L126" s="5" t="s">
        <v>38</v>
      </c>
      <c r="M126" s="6">
        <v>44940</v>
      </c>
      <c r="N126" s="5">
        <v>449.97</v>
      </c>
      <c r="O126" s="28">
        <f t="shared" ca="1" si="6"/>
        <v>1157</v>
      </c>
      <c r="P126" s="28">
        <f>MONTH(Table1[[#This Row],[Date]])</f>
        <v>10</v>
      </c>
      <c r="Q126" s="28">
        <f t="shared" si="7"/>
        <v>2024</v>
      </c>
      <c r="R126" s="30" t="str">
        <f t="shared" si="8"/>
        <v>Normal</v>
      </c>
      <c r="S126" s="31">
        <f t="shared" si="9"/>
        <v>1149.93</v>
      </c>
    </row>
    <row r="127" spans="1:19" ht="15.75" customHeight="1" x14ac:dyDescent="0.3">
      <c r="A127" s="5" t="s">
        <v>268</v>
      </c>
      <c r="B127" s="6">
        <v>45576</v>
      </c>
      <c r="C127" s="5" t="s">
        <v>149</v>
      </c>
      <c r="D127" s="5" t="s">
        <v>150</v>
      </c>
      <c r="E127" s="5" t="s">
        <v>107</v>
      </c>
      <c r="F127" s="5" t="s">
        <v>108</v>
      </c>
      <c r="G127" s="5" t="s">
        <v>48</v>
      </c>
      <c r="H127" s="5">
        <v>3</v>
      </c>
      <c r="I127" s="5">
        <v>299.99</v>
      </c>
      <c r="J127" s="5" t="s">
        <v>28</v>
      </c>
      <c r="K127" s="5" t="s">
        <v>23</v>
      </c>
      <c r="L127" s="5" t="s">
        <v>38</v>
      </c>
      <c r="M127" s="6">
        <v>45174</v>
      </c>
      <c r="N127" s="5">
        <v>899.97</v>
      </c>
      <c r="O127" s="28">
        <f t="shared" ca="1" si="6"/>
        <v>923</v>
      </c>
      <c r="P127" s="28">
        <f>MONTH(Table1[[#This Row],[Date]])</f>
        <v>10</v>
      </c>
      <c r="Q127" s="28">
        <f t="shared" si="7"/>
        <v>2024</v>
      </c>
      <c r="R127" s="30" t="str">
        <f t="shared" si="8"/>
        <v>Normal</v>
      </c>
      <c r="S127" s="31">
        <f t="shared" si="9"/>
        <v>7309.7999999999993</v>
      </c>
    </row>
    <row r="128" spans="1:19" ht="15.75" customHeight="1" x14ac:dyDescent="0.3">
      <c r="A128" s="5" t="s">
        <v>269</v>
      </c>
      <c r="B128" s="6">
        <v>45579</v>
      </c>
      <c r="C128" s="5" t="s">
        <v>85</v>
      </c>
      <c r="D128" s="5" t="s">
        <v>86</v>
      </c>
      <c r="E128" s="5" t="s">
        <v>63</v>
      </c>
      <c r="F128" s="5" t="s">
        <v>64</v>
      </c>
      <c r="G128" s="5" t="s">
        <v>21</v>
      </c>
      <c r="H128" s="5">
        <v>3</v>
      </c>
      <c r="I128" s="5">
        <v>899.99</v>
      </c>
      <c r="J128" s="5" t="s">
        <v>36</v>
      </c>
      <c r="K128" s="5" t="s">
        <v>52</v>
      </c>
      <c r="L128" s="5" t="s">
        <v>24</v>
      </c>
      <c r="M128" s="6">
        <v>45215</v>
      </c>
      <c r="N128" s="5">
        <v>2699.97</v>
      </c>
      <c r="O128" s="28">
        <f t="shared" ca="1" si="6"/>
        <v>882</v>
      </c>
      <c r="P128" s="28">
        <f>MONTH(Table1[[#This Row],[Date]])</f>
        <v>10</v>
      </c>
      <c r="Q128" s="28">
        <f t="shared" si="7"/>
        <v>2024</v>
      </c>
      <c r="R128" s="30" t="str">
        <f t="shared" si="8"/>
        <v>High Value</v>
      </c>
      <c r="S128" s="31">
        <f t="shared" si="9"/>
        <v>3779.93</v>
      </c>
    </row>
    <row r="129" spans="1:19" ht="15.75" customHeight="1" x14ac:dyDescent="0.3">
      <c r="A129" s="5" t="s">
        <v>270</v>
      </c>
      <c r="B129" s="6">
        <v>45581</v>
      </c>
      <c r="C129" s="5" t="s">
        <v>98</v>
      </c>
      <c r="D129" s="5" t="s">
        <v>99</v>
      </c>
      <c r="E129" s="5" t="s">
        <v>82</v>
      </c>
      <c r="F129" s="5" t="s">
        <v>83</v>
      </c>
      <c r="G129" s="5" t="s">
        <v>21</v>
      </c>
      <c r="H129" s="5">
        <v>5</v>
      </c>
      <c r="I129" s="5">
        <v>699.99</v>
      </c>
      <c r="J129" s="5" t="s">
        <v>22</v>
      </c>
      <c r="K129" s="5" t="s">
        <v>65</v>
      </c>
      <c r="L129" s="5" t="s">
        <v>38</v>
      </c>
      <c r="M129" s="6">
        <v>45008</v>
      </c>
      <c r="N129" s="5">
        <v>3499.95</v>
      </c>
      <c r="O129" s="28">
        <f t="shared" ca="1" si="6"/>
        <v>1089</v>
      </c>
      <c r="P129" s="28">
        <f>MONTH(Table1[[#This Row],[Date]])</f>
        <v>10</v>
      </c>
      <c r="Q129" s="28">
        <f t="shared" si="7"/>
        <v>2024</v>
      </c>
      <c r="R129" s="30" t="str">
        <f t="shared" si="8"/>
        <v>High Value</v>
      </c>
      <c r="S129" s="31">
        <f t="shared" si="9"/>
        <v>10649.8</v>
      </c>
    </row>
    <row r="130" spans="1:19" ht="15.75" customHeight="1" x14ac:dyDescent="0.3">
      <c r="A130" s="5" t="s">
        <v>271</v>
      </c>
      <c r="B130" s="6">
        <v>45581</v>
      </c>
      <c r="C130" s="5" t="s">
        <v>173</v>
      </c>
      <c r="D130" s="5" t="s">
        <v>174</v>
      </c>
      <c r="E130" s="5" t="s">
        <v>82</v>
      </c>
      <c r="F130" s="5" t="s">
        <v>83</v>
      </c>
      <c r="G130" s="5" t="s">
        <v>21</v>
      </c>
      <c r="H130" s="5">
        <v>4</v>
      </c>
      <c r="I130" s="5">
        <v>699.99</v>
      </c>
      <c r="J130" s="5" t="s">
        <v>28</v>
      </c>
      <c r="K130" s="5" t="s">
        <v>23</v>
      </c>
      <c r="L130" s="5" t="s">
        <v>24</v>
      </c>
      <c r="M130" s="6">
        <v>45385</v>
      </c>
      <c r="N130" s="5">
        <v>2799.96</v>
      </c>
      <c r="O130" s="28">
        <f t="shared" ca="1" si="6"/>
        <v>712</v>
      </c>
      <c r="P130" s="28">
        <f>MONTH(Table1[[#This Row],[Date]])</f>
        <v>10</v>
      </c>
      <c r="Q130" s="28">
        <f t="shared" si="7"/>
        <v>2024</v>
      </c>
      <c r="R130" s="30" t="str">
        <f t="shared" si="8"/>
        <v>High Value</v>
      </c>
      <c r="S130" s="31">
        <f t="shared" si="9"/>
        <v>3669.8500000000004</v>
      </c>
    </row>
    <row r="131" spans="1:19" ht="15.75" customHeight="1" x14ac:dyDescent="0.3">
      <c r="A131" s="5" t="s">
        <v>272</v>
      </c>
      <c r="B131" s="6">
        <v>45581</v>
      </c>
      <c r="C131" s="5" t="s">
        <v>152</v>
      </c>
      <c r="D131" s="5" t="s">
        <v>153</v>
      </c>
      <c r="E131" s="5" t="s">
        <v>63</v>
      </c>
      <c r="F131" s="5" t="s">
        <v>64</v>
      </c>
      <c r="G131" s="5" t="s">
        <v>21</v>
      </c>
      <c r="H131" s="5">
        <v>1</v>
      </c>
      <c r="I131" s="5">
        <v>899.99</v>
      </c>
      <c r="J131" s="5" t="s">
        <v>28</v>
      </c>
      <c r="K131" s="5" t="s">
        <v>65</v>
      </c>
      <c r="L131" s="5" t="s">
        <v>38</v>
      </c>
      <c r="M131" s="6">
        <v>45369</v>
      </c>
      <c r="N131" s="5">
        <v>899.99</v>
      </c>
      <c r="O131" s="28">
        <f t="shared" ref="O131:O194" ca="1" si="10">DATEDIF(M131,TODAY(),"D")</f>
        <v>728</v>
      </c>
      <c r="P131" s="28">
        <f>MONTH(Table1[[#This Row],[Date]])</f>
        <v>10</v>
      </c>
      <c r="Q131" s="28">
        <f t="shared" ref="Q131:Q194" si="11">YEAR(B131)</f>
        <v>2024</v>
      </c>
      <c r="R131" s="30" t="str">
        <f t="shared" ref="R131:R194" si="12">IF(N131&gt;=1000,"High Value","Normal")</f>
        <v>Normal</v>
      </c>
      <c r="S131" s="31">
        <f t="shared" ref="S131:S194" si="13">SUMIF(D:D,D131,N:N)</f>
        <v>5619.869999999999</v>
      </c>
    </row>
    <row r="132" spans="1:19" ht="15.75" customHeight="1" x14ac:dyDescent="0.3">
      <c r="A132" s="5" t="s">
        <v>273</v>
      </c>
      <c r="B132" s="6">
        <v>45583</v>
      </c>
      <c r="C132" s="5" t="s">
        <v>228</v>
      </c>
      <c r="D132" s="5" t="s">
        <v>229</v>
      </c>
      <c r="E132" s="5" t="s">
        <v>54</v>
      </c>
      <c r="F132" s="5" t="s">
        <v>55</v>
      </c>
      <c r="G132" s="5" t="s">
        <v>21</v>
      </c>
      <c r="H132" s="5">
        <v>2</v>
      </c>
      <c r="I132" s="5">
        <v>149.99</v>
      </c>
      <c r="J132" s="5" t="s">
        <v>28</v>
      </c>
      <c r="K132" s="5" t="s">
        <v>52</v>
      </c>
      <c r="L132" s="5" t="s">
        <v>24</v>
      </c>
      <c r="M132" s="6">
        <v>44916</v>
      </c>
      <c r="N132" s="5">
        <v>299.98</v>
      </c>
      <c r="O132" s="28">
        <f t="shared" ca="1" si="10"/>
        <v>1181</v>
      </c>
      <c r="P132" s="28">
        <f>MONTH(Table1[[#This Row],[Date]])</f>
        <v>10</v>
      </c>
      <c r="Q132" s="28">
        <f t="shared" si="11"/>
        <v>2024</v>
      </c>
      <c r="R132" s="30" t="str">
        <f t="shared" si="12"/>
        <v>Normal</v>
      </c>
      <c r="S132" s="31">
        <f t="shared" si="13"/>
        <v>6989.7699999999986</v>
      </c>
    </row>
    <row r="133" spans="1:19" ht="15.75" customHeight="1" x14ac:dyDescent="0.3">
      <c r="A133" s="5" t="s">
        <v>274</v>
      </c>
      <c r="B133" s="6">
        <v>45586</v>
      </c>
      <c r="C133" s="5" t="s">
        <v>228</v>
      </c>
      <c r="D133" s="5" t="s">
        <v>229</v>
      </c>
      <c r="E133" s="5" t="s">
        <v>119</v>
      </c>
      <c r="F133" s="5" t="s">
        <v>120</v>
      </c>
      <c r="G133" s="5" t="s">
        <v>21</v>
      </c>
      <c r="H133" s="5">
        <v>3</v>
      </c>
      <c r="I133" s="5">
        <v>89.99</v>
      </c>
      <c r="J133" s="5" t="s">
        <v>36</v>
      </c>
      <c r="K133" s="5" t="s">
        <v>23</v>
      </c>
      <c r="L133" s="5" t="s">
        <v>24</v>
      </c>
      <c r="M133" s="6">
        <v>44551</v>
      </c>
      <c r="N133" s="5">
        <v>269.97000000000003</v>
      </c>
      <c r="O133" s="28">
        <f t="shared" ca="1" si="10"/>
        <v>1546</v>
      </c>
      <c r="P133" s="28">
        <f>MONTH(Table1[[#This Row],[Date]])</f>
        <v>10</v>
      </c>
      <c r="Q133" s="28">
        <f t="shared" si="11"/>
        <v>2024</v>
      </c>
      <c r="R133" s="30" t="str">
        <f t="shared" si="12"/>
        <v>Normal</v>
      </c>
      <c r="S133" s="31">
        <f t="shared" si="13"/>
        <v>6989.7699999999986</v>
      </c>
    </row>
    <row r="134" spans="1:19" ht="15.75" customHeight="1" x14ac:dyDescent="0.3">
      <c r="A134" s="5" t="s">
        <v>275</v>
      </c>
      <c r="B134" s="6">
        <v>45588</v>
      </c>
      <c r="C134" s="5" t="s">
        <v>40</v>
      </c>
      <c r="D134" s="5" t="s">
        <v>41</v>
      </c>
      <c r="E134" s="5" t="s">
        <v>54</v>
      </c>
      <c r="F134" s="5" t="s">
        <v>55</v>
      </c>
      <c r="G134" s="5" t="s">
        <v>21</v>
      </c>
      <c r="H134" s="5">
        <v>2</v>
      </c>
      <c r="I134" s="5">
        <v>149.99</v>
      </c>
      <c r="J134" s="5" t="s">
        <v>36</v>
      </c>
      <c r="K134" s="5" t="s">
        <v>23</v>
      </c>
      <c r="L134" s="5" t="s">
        <v>24</v>
      </c>
      <c r="M134" s="6">
        <v>44473</v>
      </c>
      <c r="N134" s="5">
        <v>299.98</v>
      </c>
      <c r="O134" s="28">
        <f t="shared" ca="1" si="10"/>
        <v>1624</v>
      </c>
      <c r="P134" s="28">
        <f>MONTH(Table1[[#This Row],[Date]])</f>
        <v>10</v>
      </c>
      <c r="Q134" s="28">
        <f t="shared" si="11"/>
        <v>2024</v>
      </c>
      <c r="R134" s="30" t="str">
        <f t="shared" si="12"/>
        <v>Normal</v>
      </c>
      <c r="S134" s="31">
        <f t="shared" si="13"/>
        <v>4309.8099999999995</v>
      </c>
    </row>
    <row r="135" spans="1:19" ht="15.75" customHeight="1" x14ac:dyDescent="0.3">
      <c r="A135" s="5" t="s">
        <v>276</v>
      </c>
      <c r="B135" s="6">
        <v>45588</v>
      </c>
      <c r="C135" s="5" t="s">
        <v>156</v>
      </c>
      <c r="D135" s="5" t="s">
        <v>157</v>
      </c>
      <c r="E135" s="5" t="s">
        <v>82</v>
      </c>
      <c r="F135" s="5" t="s">
        <v>83</v>
      </c>
      <c r="G135" s="5" t="s">
        <v>21</v>
      </c>
      <c r="H135" s="5">
        <v>2</v>
      </c>
      <c r="I135" s="5">
        <v>699.99</v>
      </c>
      <c r="J135" s="5" t="s">
        <v>22</v>
      </c>
      <c r="K135" s="5" t="s">
        <v>23</v>
      </c>
      <c r="L135" s="5" t="s">
        <v>24</v>
      </c>
      <c r="M135" s="6">
        <v>44992</v>
      </c>
      <c r="N135" s="5">
        <v>1399.98</v>
      </c>
      <c r="O135" s="28">
        <f t="shared" ca="1" si="10"/>
        <v>1105</v>
      </c>
      <c r="P135" s="28">
        <f>MONTH(Table1[[#This Row],[Date]])</f>
        <v>10</v>
      </c>
      <c r="Q135" s="28">
        <f t="shared" si="11"/>
        <v>2024</v>
      </c>
      <c r="R135" s="30" t="str">
        <f t="shared" si="12"/>
        <v>High Value</v>
      </c>
      <c r="S135" s="31">
        <f t="shared" si="13"/>
        <v>5499.8099999999995</v>
      </c>
    </row>
    <row r="136" spans="1:19" ht="15.75" customHeight="1" x14ac:dyDescent="0.3">
      <c r="A136" s="5" t="s">
        <v>277</v>
      </c>
      <c r="B136" s="6">
        <v>45589</v>
      </c>
      <c r="C136" s="5" t="s">
        <v>160</v>
      </c>
      <c r="D136" s="5" t="s">
        <v>161</v>
      </c>
      <c r="E136" s="5" t="s">
        <v>82</v>
      </c>
      <c r="F136" s="5" t="s">
        <v>83</v>
      </c>
      <c r="G136" s="5" t="s">
        <v>21</v>
      </c>
      <c r="H136" s="5">
        <v>5</v>
      </c>
      <c r="I136" s="5">
        <v>699.99</v>
      </c>
      <c r="J136" s="5" t="s">
        <v>22</v>
      </c>
      <c r="K136" s="5" t="s">
        <v>42</v>
      </c>
      <c r="L136" s="5" t="s">
        <v>29</v>
      </c>
      <c r="M136" s="6">
        <v>44635</v>
      </c>
      <c r="N136" s="5">
        <v>3499.95</v>
      </c>
      <c r="O136" s="28">
        <f t="shared" ca="1" si="10"/>
        <v>1462</v>
      </c>
      <c r="P136" s="28">
        <f>MONTH(Table1[[#This Row],[Date]])</f>
        <v>10</v>
      </c>
      <c r="Q136" s="28">
        <f t="shared" si="11"/>
        <v>2024</v>
      </c>
      <c r="R136" s="30" t="str">
        <f t="shared" si="12"/>
        <v>High Value</v>
      </c>
      <c r="S136" s="31">
        <f t="shared" si="13"/>
        <v>5649.84</v>
      </c>
    </row>
    <row r="137" spans="1:19" ht="15.75" customHeight="1" x14ac:dyDescent="0.3">
      <c r="A137" s="5" t="s">
        <v>278</v>
      </c>
      <c r="B137" s="6">
        <v>45592</v>
      </c>
      <c r="C137" s="5" t="s">
        <v>173</v>
      </c>
      <c r="D137" s="5" t="s">
        <v>174</v>
      </c>
      <c r="E137" s="5" t="s">
        <v>119</v>
      </c>
      <c r="F137" s="5" t="s">
        <v>120</v>
      </c>
      <c r="G137" s="5" t="s">
        <v>21</v>
      </c>
      <c r="H137" s="5">
        <v>3</v>
      </c>
      <c r="I137" s="5">
        <v>89.99</v>
      </c>
      <c r="J137" s="5" t="s">
        <v>28</v>
      </c>
      <c r="K137" s="5" t="s">
        <v>42</v>
      </c>
      <c r="L137" s="5" t="s">
        <v>38</v>
      </c>
      <c r="M137" s="6">
        <v>44615</v>
      </c>
      <c r="N137" s="5">
        <v>269.97000000000003</v>
      </c>
      <c r="O137" s="28">
        <f t="shared" ca="1" si="10"/>
        <v>1482</v>
      </c>
      <c r="P137" s="28">
        <f>MONTH(Table1[[#This Row],[Date]])</f>
        <v>10</v>
      </c>
      <c r="Q137" s="28">
        <f t="shared" si="11"/>
        <v>2024</v>
      </c>
      <c r="R137" s="30" t="str">
        <f t="shared" si="12"/>
        <v>Normal</v>
      </c>
      <c r="S137" s="31">
        <f t="shared" si="13"/>
        <v>3669.8500000000004</v>
      </c>
    </row>
    <row r="138" spans="1:19" ht="15.75" customHeight="1" x14ac:dyDescent="0.3">
      <c r="A138" s="5" t="s">
        <v>279</v>
      </c>
      <c r="B138" s="6">
        <v>45597</v>
      </c>
      <c r="C138" s="5" t="s">
        <v>17</v>
      </c>
      <c r="D138" s="5" t="s">
        <v>18</v>
      </c>
      <c r="E138" s="5" t="s">
        <v>19</v>
      </c>
      <c r="F138" s="5" t="s">
        <v>20</v>
      </c>
      <c r="G138" s="5" t="s">
        <v>21</v>
      </c>
      <c r="H138" s="5">
        <v>5</v>
      </c>
      <c r="I138" s="5">
        <v>249.99</v>
      </c>
      <c r="J138" s="5" t="s">
        <v>28</v>
      </c>
      <c r="K138" s="5" t="s">
        <v>37</v>
      </c>
      <c r="L138" s="5" t="s">
        <v>38</v>
      </c>
      <c r="M138" s="6">
        <v>44881</v>
      </c>
      <c r="N138" s="5">
        <v>1249.95</v>
      </c>
      <c r="O138" s="28">
        <f t="shared" ca="1" si="10"/>
        <v>1216</v>
      </c>
      <c r="P138" s="28">
        <f>MONTH(Table1[[#This Row],[Date]])</f>
        <v>11</v>
      </c>
      <c r="Q138" s="28">
        <f t="shared" si="11"/>
        <v>2024</v>
      </c>
      <c r="R138" s="30" t="str">
        <f t="shared" si="12"/>
        <v>High Value</v>
      </c>
      <c r="S138" s="31">
        <f t="shared" si="13"/>
        <v>8309.739999999998</v>
      </c>
    </row>
    <row r="139" spans="1:19" ht="15.75" customHeight="1" x14ac:dyDescent="0.3">
      <c r="A139" s="5" t="s">
        <v>280</v>
      </c>
      <c r="B139" s="6">
        <v>45600</v>
      </c>
      <c r="C139" s="5" t="s">
        <v>67</v>
      </c>
      <c r="D139" s="5" t="s">
        <v>68</v>
      </c>
      <c r="E139" s="5" t="s">
        <v>107</v>
      </c>
      <c r="F139" s="5" t="s">
        <v>108</v>
      </c>
      <c r="G139" s="5" t="s">
        <v>48</v>
      </c>
      <c r="H139" s="5">
        <v>3</v>
      </c>
      <c r="I139" s="5">
        <v>299.99</v>
      </c>
      <c r="J139" s="5" t="s">
        <v>28</v>
      </c>
      <c r="K139" s="5" t="s">
        <v>37</v>
      </c>
      <c r="L139" s="5" t="s">
        <v>38</v>
      </c>
      <c r="M139" s="6">
        <v>44502</v>
      </c>
      <c r="N139" s="5">
        <v>899.97</v>
      </c>
      <c r="O139" s="28">
        <f t="shared" ca="1" si="10"/>
        <v>1595</v>
      </c>
      <c r="P139" s="28">
        <f>MONTH(Table1[[#This Row],[Date]])</f>
        <v>11</v>
      </c>
      <c r="Q139" s="28">
        <f t="shared" si="11"/>
        <v>2024</v>
      </c>
      <c r="R139" s="30" t="str">
        <f t="shared" si="12"/>
        <v>Normal</v>
      </c>
      <c r="S139" s="31">
        <f t="shared" si="13"/>
        <v>8009.7699999999995</v>
      </c>
    </row>
    <row r="140" spans="1:19" ht="15.75" customHeight="1" x14ac:dyDescent="0.3">
      <c r="A140" s="5" t="s">
        <v>281</v>
      </c>
      <c r="B140" s="6">
        <v>45603</v>
      </c>
      <c r="C140" s="5" t="s">
        <v>101</v>
      </c>
      <c r="D140" s="5" t="s">
        <v>102</v>
      </c>
      <c r="E140" s="5" t="s">
        <v>119</v>
      </c>
      <c r="F140" s="5" t="s">
        <v>120</v>
      </c>
      <c r="G140" s="5" t="s">
        <v>21</v>
      </c>
      <c r="H140" s="5">
        <v>3</v>
      </c>
      <c r="I140" s="5">
        <v>89.99</v>
      </c>
      <c r="J140" s="5" t="s">
        <v>28</v>
      </c>
      <c r="K140" s="5" t="s">
        <v>42</v>
      </c>
      <c r="L140" s="5" t="s">
        <v>29</v>
      </c>
      <c r="M140" s="6">
        <v>44420</v>
      </c>
      <c r="N140" s="5">
        <v>269.97000000000003</v>
      </c>
      <c r="O140" s="28">
        <f t="shared" ca="1" si="10"/>
        <v>1677</v>
      </c>
      <c r="P140" s="28">
        <f>MONTH(Table1[[#This Row],[Date]])</f>
        <v>11</v>
      </c>
      <c r="Q140" s="28">
        <f t="shared" si="11"/>
        <v>2024</v>
      </c>
      <c r="R140" s="30" t="str">
        <f t="shared" si="12"/>
        <v>Normal</v>
      </c>
      <c r="S140" s="31">
        <f t="shared" si="13"/>
        <v>9799.73</v>
      </c>
    </row>
    <row r="141" spans="1:19" ht="15.75" customHeight="1" x14ac:dyDescent="0.3">
      <c r="A141" s="5" t="s">
        <v>282</v>
      </c>
      <c r="B141" s="6">
        <v>45604</v>
      </c>
      <c r="C141" s="5" t="s">
        <v>91</v>
      </c>
      <c r="D141" s="5" t="s">
        <v>92</v>
      </c>
      <c r="E141" s="5" t="s">
        <v>46</v>
      </c>
      <c r="F141" s="5" t="s">
        <v>47</v>
      </c>
      <c r="G141" s="5" t="s">
        <v>48</v>
      </c>
      <c r="H141" s="5">
        <v>2</v>
      </c>
      <c r="I141" s="5">
        <v>149.99</v>
      </c>
      <c r="J141" s="5" t="s">
        <v>28</v>
      </c>
      <c r="K141" s="5" t="s">
        <v>52</v>
      </c>
      <c r="L141" s="5" t="s">
        <v>29</v>
      </c>
      <c r="M141" s="6">
        <v>44848</v>
      </c>
      <c r="N141" s="5">
        <v>299.98</v>
      </c>
      <c r="O141" s="28">
        <f t="shared" ca="1" si="10"/>
        <v>1249</v>
      </c>
      <c r="P141" s="28">
        <f>MONTH(Table1[[#This Row],[Date]])</f>
        <v>11</v>
      </c>
      <c r="Q141" s="28">
        <f t="shared" si="11"/>
        <v>2024</v>
      </c>
      <c r="R141" s="30" t="str">
        <f t="shared" si="12"/>
        <v>Normal</v>
      </c>
      <c r="S141" s="31">
        <f t="shared" si="13"/>
        <v>1909.93</v>
      </c>
    </row>
    <row r="142" spans="1:19" ht="15.75" customHeight="1" x14ac:dyDescent="0.3">
      <c r="A142" s="5" t="s">
        <v>283</v>
      </c>
      <c r="B142" s="6">
        <v>45605</v>
      </c>
      <c r="C142" s="5" t="s">
        <v>187</v>
      </c>
      <c r="D142" s="5" t="s">
        <v>188</v>
      </c>
      <c r="E142" s="5" t="s">
        <v>19</v>
      </c>
      <c r="F142" s="5" t="s">
        <v>20</v>
      </c>
      <c r="G142" s="5" t="s">
        <v>21</v>
      </c>
      <c r="H142" s="5">
        <v>1</v>
      </c>
      <c r="I142" s="5">
        <v>249.99</v>
      </c>
      <c r="J142" s="5" t="s">
        <v>28</v>
      </c>
      <c r="K142" s="5" t="s">
        <v>42</v>
      </c>
      <c r="L142" s="5" t="s">
        <v>29</v>
      </c>
      <c r="M142" s="6">
        <v>44828</v>
      </c>
      <c r="N142" s="5">
        <v>249.99</v>
      </c>
      <c r="O142" s="28">
        <f t="shared" ca="1" si="10"/>
        <v>1269</v>
      </c>
      <c r="P142" s="28">
        <f>MONTH(Table1[[#This Row],[Date]])</f>
        <v>11</v>
      </c>
      <c r="Q142" s="28">
        <f t="shared" si="11"/>
        <v>2024</v>
      </c>
      <c r="R142" s="30" t="str">
        <f t="shared" si="12"/>
        <v>Normal</v>
      </c>
      <c r="S142" s="31">
        <f t="shared" si="13"/>
        <v>2099.88</v>
      </c>
    </row>
    <row r="143" spans="1:19" ht="15.75" customHeight="1" x14ac:dyDescent="0.3">
      <c r="A143" s="5" t="s">
        <v>284</v>
      </c>
      <c r="B143" s="6">
        <v>45607</v>
      </c>
      <c r="C143" s="5" t="s">
        <v>74</v>
      </c>
      <c r="D143" s="5" t="s">
        <v>75</v>
      </c>
      <c r="E143" s="5" t="s">
        <v>54</v>
      </c>
      <c r="F143" s="5" t="s">
        <v>55</v>
      </c>
      <c r="G143" s="5" t="s">
        <v>21</v>
      </c>
      <c r="H143" s="5">
        <v>3</v>
      </c>
      <c r="I143" s="5">
        <v>149.99</v>
      </c>
      <c r="J143" s="5" t="s">
        <v>22</v>
      </c>
      <c r="K143" s="5" t="s">
        <v>42</v>
      </c>
      <c r="L143" s="5" t="s">
        <v>24</v>
      </c>
      <c r="M143" s="6">
        <v>44769</v>
      </c>
      <c r="N143" s="5">
        <v>449.97</v>
      </c>
      <c r="O143" s="28">
        <f t="shared" ca="1" si="10"/>
        <v>1328</v>
      </c>
      <c r="P143" s="28">
        <f>MONTH(Table1[[#This Row],[Date]])</f>
        <v>11</v>
      </c>
      <c r="Q143" s="28">
        <f t="shared" si="11"/>
        <v>2024</v>
      </c>
      <c r="R143" s="30" t="str">
        <f t="shared" si="12"/>
        <v>Normal</v>
      </c>
      <c r="S143" s="31">
        <f t="shared" si="13"/>
        <v>5949.85</v>
      </c>
    </row>
    <row r="144" spans="1:19" ht="15.75" customHeight="1" x14ac:dyDescent="0.3">
      <c r="A144" s="5" t="s">
        <v>285</v>
      </c>
      <c r="B144" s="6">
        <v>45607</v>
      </c>
      <c r="C144" s="5" t="s">
        <v>17</v>
      </c>
      <c r="D144" s="5" t="s">
        <v>18</v>
      </c>
      <c r="E144" s="5" t="s">
        <v>33</v>
      </c>
      <c r="F144" s="5" t="s">
        <v>34</v>
      </c>
      <c r="G144" s="5" t="s">
        <v>35</v>
      </c>
      <c r="H144" s="5">
        <v>5</v>
      </c>
      <c r="I144" s="5">
        <v>59.99</v>
      </c>
      <c r="J144" s="5" t="s">
        <v>36</v>
      </c>
      <c r="K144" s="5" t="s">
        <v>52</v>
      </c>
      <c r="L144" s="5" t="s">
        <v>29</v>
      </c>
      <c r="M144" s="6">
        <v>44694</v>
      </c>
      <c r="N144" s="5">
        <v>299.95</v>
      </c>
      <c r="O144" s="28">
        <f t="shared" ca="1" si="10"/>
        <v>1403</v>
      </c>
      <c r="P144" s="28">
        <f>MONTH(Table1[[#This Row],[Date]])</f>
        <v>11</v>
      </c>
      <c r="Q144" s="28">
        <f t="shared" si="11"/>
        <v>2024</v>
      </c>
      <c r="R144" s="30" t="str">
        <f t="shared" si="12"/>
        <v>Normal</v>
      </c>
      <c r="S144" s="31">
        <f t="shared" si="13"/>
        <v>8309.739999999998</v>
      </c>
    </row>
    <row r="145" spans="1:19" ht="15.75" customHeight="1" x14ac:dyDescent="0.3">
      <c r="A145" s="5" t="s">
        <v>286</v>
      </c>
      <c r="B145" s="6">
        <v>45607</v>
      </c>
      <c r="C145" s="5" t="s">
        <v>101</v>
      </c>
      <c r="D145" s="5" t="s">
        <v>102</v>
      </c>
      <c r="E145" s="5" t="s">
        <v>19</v>
      </c>
      <c r="F145" s="5" t="s">
        <v>20</v>
      </c>
      <c r="G145" s="5" t="s">
        <v>21</v>
      </c>
      <c r="H145" s="5">
        <v>4</v>
      </c>
      <c r="I145" s="5">
        <v>249.99</v>
      </c>
      <c r="J145" s="5" t="s">
        <v>28</v>
      </c>
      <c r="K145" s="5" t="s">
        <v>52</v>
      </c>
      <c r="L145" s="5" t="s">
        <v>38</v>
      </c>
      <c r="M145" s="6">
        <v>44659</v>
      </c>
      <c r="N145" s="5">
        <v>999.96</v>
      </c>
      <c r="O145" s="28">
        <f t="shared" ca="1" si="10"/>
        <v>1438</v>
      </c>
      <c r="P145" s="28">
        <f>MONTH(Table1[[#This Row],[Date]])</f>
        <v>11</v>
      </c>
      <c r="Q145" s="28">
        <f t="shared" si="11"/>
        <v>2024</v>
      </c>
      <c r="R145" s="30" t="str">
        <f t="shared" si="12"/>
        <v>Normal</v>
      </c>
      <c r="S145" s="31">
        <f t="shared" si="13"/>
        <v>9799.73</v>
      </c>
    </row>
    <row r="146" spans="1:19" ht="15.75" customHeight="1" x14ac:dyDescent="0.3">
      <c r="A146" s="5" t="s">
        <v>287</v>
      </c>
      <c r="B146" s="6">
        <v>45608</v>
      </c>
      <c r="C146" s="5" t="s">
        <v>156</v>
      </c>
      <c r="D146" s="5" t="s">
        <v>157</v>
      </c>
      <c r="E146" s="5" t="s">
        <v>46</v>
      </c>
      <c r="F146" s="5" t="s">
        <v>47</v>
      </c>
      <c r="G146" s="5" t="s">
        <v>48</v>
      </c>
      <c r="H146" s="5">
        <v>5</v>
      </c>
      <c r="I146" s="5">
        <v>149.99</v>
      </c>
      <c r="J146" s="5" t="s">
        <v>36</v>
      </c>
      <c r="K146" s="5" t="s">
        <v>23</v>
      </c>
      <c r="L146" s="5" t="s">
        <v>24</v>
      </c>
      <c r="M146" s="6">
        <v>44901</v>
      </c>
      <c r="N146" s="5">
        <v>749.95</v>
      </c>
      <c r="O146" s="28">
        <f t="shared" ca="1" si="10"/>
        <v>1196</v>
      </c>
      <c r="P146" s="28">
        <f>MONTH(Table1[[#This Row],[Date]])</f>
        <v>11</v>
      </c>
      <c r="Q146" s="28">
        <f t="shared" si="11"/>
        <v>2024</v>
      </c>
      <c r="R146" s="30" t="str">
        <f t="shared" si="12"/>
        <v>Normal</v>
      </c>
      <c r="S146" s="31">
        <f t="shared" si="13"/>
        <v>5499.8099999999995</v>
      </c>
    </row>
    <row r="147" spans="1:19" ht="15.75" customHeight="1" x14ac:dyDescent="0.3">
      <c r="A147" s="5" t="s">
        <v>288</v>
      </c>
      <c r="B147" s="6">
        <v>45608</v>
      </c>
      <c r="C147" s="5" t="s">
        <v>85</v>
      </c>
      <c r="D147" s="5" t="s">
        <v>86</v>
      </c>
      <c r="E147" s="5" t="s">
        <v>33</v>
      </c>
      <c r="F147" s="5" t="s">
        <v>34</v>
      </c>
      <c r="G147" s="5" t="s">
        <v>35</v>
      </c>
      <c r="H147" s="5">
        <v>3</v>
      </c>
      <c r="I147" s="5">
        <v>59.99</v>
      </c>
      <c r="J147" s="5" t="s">
        <v>59</v>
      </c>
      <c r="K147" s="5" t="s">
        <v>37</v>
      </c>
      <c r="L147" s="5" t="s">
        <v>38</v>
      </c>
      <c r="M147" s="6">
        <v>45260</v>
      </c>
      <c r="N147" s="5">
        <v>179.97</v>
      </c>
      <c r="O147" s="28">
        <f t="shared" ca="1" si="10"/>
        <v>837</v>
      </c>
      <c r="P147" s="28">
        <f>MONTH(Table1[[#This Row],[Date]])</f>
        <v>11</v>
      </c>
      <c r="Q147" s="28">
        <f t="shared" si="11"/>
        <v>2024</v>
      </c>
      <c r="R147" s="30" t="str">
        <f t="shared" si="12"/>
        <v>Normal</v>
      </c>
      <c r="S147" s="31">
        <f t="shared" si="13"/>
        <v>3779.93</v>
      </c>
    </row>
    <row r="148" spans="1:19" ht="15.75" customHeight="1" x14ac:dyDescent="0.3">
      <c r="A148" s="5" t="s">
        <v>289</v>
      </c>
      <c r="B148" s="6">
        <v>45613</v>
      </c>
      <c r="C148" s="5" t="s">
        <v>236</v>
      </c>
      <c r="D148" s="5" t="s">
        <v>237</v>
      </c>
      <c r="E148" s="5" t="s">
        <v>46</v>
      </c>
      <c r="F148" s="5" t="s">
        <v>47</v>
      </c>
      <c r="G148" s="5" t="s">
        <v>48</v>
      </c>
      <c r="H148" s="5">
        <v>5</v>
      </c>
      <c r="I148" s="5">
        <v>149.99</v>
      </c>
      <c r="J148" s="5" t="s">
        <v>22</v>
      </c>
      <c r="K148" s="5" t="s">
        <v>42</v>
      </c>
      <c r="L148" s="5" t="s">
        <v>24</v>
      </c>
      <c r="M148" s="6">
        <v>44869</v>
      </c>
      <c r="N148" s="5">
        <v>749.95</v>
      </c>
      <c r="O148" s="28">
        <f t="shared" ca="1" si="10"/>
        <v>1228</v>
      </c>
      <c r="P148" s="28">
        <f>MONTH(Table1[[#This Row],[Date]])</f>
        <v>11</v>
      </c>
      <c r="Q148" s="28">
        <f t="shared" si="11"/>
        <v>2024</v>
      </c>
      <c r="R148" s="30" t="str">
        <f t="shared" si="12"/>
        <v>Normal</v>
      </c>
      <c r="S148" s="31">
        <f t="shared" si="13"/>
        <v>6349.83</v>
      </c>
    </row>
    <row r="149" spans="1:19" ht="15.75" customHeight="1" x14ac:dyDescent="0.3">
      <c r="A149" s="5" t="s">
        <v>290</v>
      </c>
      <c r="B149" s="6">
        <v>45613</v>
      </c>
      <c r="C149" s="5" t="s">
        <v>88</v>
      </c>
      <c r="D149" s="5" t="s">
        <v>89</v>
      </c>
      <c r="E149" s="5" t="s">
        <v>82</v>
      </c>
      <c r="F149" s="5" t="s">
        <v>83</v>
      </c>
      <c r="G149" s="5" t="s">
        <v>21</v>
      </c>
      <c r="H149" s="5">
        <v>2</v>
      </c>
      <c r="I149" s="5">
        <v>699.99</v>
      </c>
      <c r="J149" s="5" t="s">
        <v>36</v>
      </c>
      <c r="K149" s="5" t="s">
        <v>52</v>
      </c>
      <c r="L149" s="5" t="s">
        <v>38</v>
      </c>
      <c r="M149" s="6">
        <v>44770</v>
      </c>
      <c r="N149" s="5">
        <v>1399.98</v>
      </c>
      <c r="O149" s="28">
        <f t="shared" ca="1" si="10"/>
        <v>1327</v>
      </c>
      <c r="P149" s="28">
        <f>MONTH(Table1[[#This Row],[Date]])</f>
        <v>11</v>
      </c>
      <c r="Q149" s="28">
        <f t="shared" si="11"/>
        <v>2024</v>
      </c>
      <c r="R149" s="30" t="str">
        <f t="shared" si="12"/>
        <v>High Value</v>
      </c>
      <c r="S149" s="31">
        <f t="shared" si="13"/>
        <v>15659.65</v>
      </c>
    </row>
    <row r="150" spans="1:19" ht="15.75" customHeight="1" x14ac:dyDescent="0.3">
      <c r="A150" s="5" t="s">
        <v>291</v>
      </c>
      <c r="B150" s="6">
        <v>45617</v>
      </c>
      <c r="C150" s="5" t="s">
        <v>125</v>
      </c>
      <c r="D150" s="5" t="s">
        <v>126</v>
      </c>
      <c r="E150" s="5" t="s">
        <v>128</v>
      </c>
      <c r="F150" s="5" t="s">
        <v>129</v>
      </c>
      <c r="G150" s="5" t="s">
        <v>48</v>
      </c>
      <c r="H150" s="5">
        <v>4</v>
      </c>
      <c r="I150" s="5">
        <v>199.99</v>
      </c>
      <c r="J150" s="5" t="s">
        <v>59</v>
      </c>
      <c r="K150" s="5" t="s">
        <v>23</v>
      </c>
      <c r="L150" s="5" t="s">
        <v>29</v>
      </c>
      <c r="M150" s="6">
        <v>44427</v>
      </c>
      <c r="N150" s="5">
        <v>799.96</v>
      </c>
      <c r="O150" s="28">
        <f t="shared" ca="1" si="10"/>
        <v>1670</v>
      </c>
      <c r="P150" s="28">
        <f>MONTH(Table1[[#This Row],[Date]])</f>
        <v>11</v>
      </c>
      <c r="Q150" s="28">
        <f t="shared" si="11"/>
        <v>2024</v>
      </c>
      <c r="R150" s="30" t="str">
        <f t="shared" si="12"/>
        <v>Normal</v>
      </c>
      <c r="S150" s="31">
        <f t="shared" si="13"/>
        <v>11919.769999999999</v>
      </c>
    </row>
    <row r="151" spans="1:19" ht="15.75" customHeight="1" x14ac:dyDescent="0.3">
      <c r="A151" s="5" t="s">
        <v>292</v>
      </c>
      <c r="B151" s="6">
        <v>45619</v>
      </c>
      <c r="C151" s="5" t="s">
        <v>194</v>
      </c>
      <c r="D151" s="5" t="s">
        <v>195</v>
      </c>
      <c r="E151" s="5" t="s">
        <v>33</v>
      </c>
      <c r="F151" s="5" t="s">
        <v>34</v>
      </c>
      <c r="G151" s="5" t="s">
        <v>35</v>
      </c>
      <c r="H151" s="5">
        <v>1</v>
      </c>
      <c r="I151" s="5">
        <v>59.99</v>
      </c>
      <c r="J151" s="5" t="s">
        <v>59</v>
      </c>
      <c r="K151" s="5" t="s">
        <v>52</v>
      </c>
      <c r="L151" s="5" t="s">
        <v>38</v>
      </c>
      <c r="M151" s="6">
        <v>44560</v>
      </c>
      <c r="N151" s="5">
        <v>59.99</v>
      </c>
      <c r="O151" s="28">
        <f t="shared" ca="1" si="10"/>
        <v>1537</v>
      </c>
      <c r="P151" s="28">
        <f>MONTH(Table1[[#This Row],[Date]])</f>
        <v>11</v>
      </c>
      <c r="Q151" s="28">
        <f t="shared" si="11"/>
        <v>2024</v>
      </c>
      <c r="R151" s="30" t="str">
        <f t="shared" si="12"/>
        <v>Normal</v>
      </c>
      <c r="S151" s="31">
        <f t="shared" si="13"/>
        <v>1479.91</v>
      </c>
    </row>
    <row r="152" spans="1:19" ht="15.75" customHeight="1" x14ac:dyDescent="0.3">
      <c r="A152" s="5" t="s">
        <v>293</v>
      </c>
      <c r="B152" s="6">
        <v>45619</v>
      </c>
      <c r="C152" s="5" t="s">
        <v>156</v>
      </c>
      <c r="D152" s="5" t="s">
        <v>157</v>
      </c>
      <c r="E152" s="5" t="s">
        <v>82</v>
      </c>
      <c r="F152" s="5" t="s">
        <v>83</v>
      </c>
      <c r="G152" s="5" t="s">
        <v>21</v>
      </c>
      <c r="H152" s="5">
        <v>3</v>
      </c>
      <c r="I152" s="5">
        <v>699.99</v>
      </c>
      <c r="J152" s="5" t="s">
        <v>36</v>
      </c>
      <c r="K152" s="5" t="s">
        <v>52</v>
      </c>
      <c r="L152" s="5" t="s">
        <v>38</v>
      </c>
      <c r="M152" s="6">
        <v>44583</v>
      </c>
      <c r="N152" s="5">
        <v>2099.9699999999998</v>
      </c>
      <c r="O152" s="28">
        <f t="shared" ca="1" si="10"/>
        <v>1514</v>
      </c>
      <c r="P152" s="28">
        <f>MONTH(Table1[[#This Row],[Date]])</f>
        <v>11</v>
      </c>
      <c r="Q152" s="28">
        <f t="shared" si="11"/>
        <v>2024</v>
      </c>
      <c r="R152" s="30" t="str">
        <f t="shared" si="12"/>
        <v>High Value</v>
      </c>
      <c r="S152" s="31">
        <f t="shared" si="13"/>
        <v>5499.8099999999995</v>
      </c>
    </row>
    <row r="153" spans="1:19" ht="15.75" customHeight="1" x14ac:dyDescent="0.3">
      <c r="A153" s="5" t="s">
        <v>294</v>
      </c>
      <c r="B153" s="6">
        <v>45622</v>
      </c>
      <c r="C153" s="5" t="s">
        <v>295</v>
      </c>
      <c r="D153" s="5" t="s">
        <v>296</v>
      </c>
      <c r="E153" s="5" t="s">
        <v>19</v>
      </c>
      <c r="F153" s="5" t="s">
        <v>20</v>
      </c>
      <c r="G153" s="5" t="s">
        <v>21</v>
      </c>
      <c r="H153" s="5">
        <v>5</v>
      </c>
      <c r="I153" s="5">
        <v>249.99</v>
      </c>
      <c r="J153" s="5" t="s">
        <v>28</v>
      </c>
      <c r="K153" s="5" t="s">
        <v>42</v>
      </c>
      <c r="L153" s="5" t="s">
        <v>24</v>
      </c>
      <c r="M153" s="6">
        <v>44873</v>
      </c>
      <c r="N153" s="5">
        <v>1249.95</v>
      </c>
      <c r="O153" s="28">
        <f t="shared" ca="1" si="10"/>
        <v>1224</v>
      </c>
      <c r="P153" s="28">
        <f>MONTH(Table1[[#This Row],[Date]])</f>
        <v>11</v>
      </c>
      <c r="Q153" s="28">
        <f t="shared" si="11"/>
        <v>2024</v>
      </c>
      <c r="R153" s="30" t="str">
        <f t="shared" si="12"/>
        <v>High Value</v>
      </c>
      <c r="S153" s="31">
        <f t="shared" si="13"/>
        <v>4829.8899999999994</v>
      </c>
    </row>
    <row r="154" spans="1:19" ht="15.75" customHeight="1" x14ac:dyDescent="0.3">
      <c r="A154" s="5" t="s">
        <v>297</v>
      </c>
      <c r="B154" s="6">
        <v>45623</v>
      </c>
      <c r="C154" s="5" t="s">
        <v>114</v>
      </c>
      <c r="D154" s="5" t="s">
        <v>115</v>
      </c>
      <c r="E154" s="5" t="s">
        <v>46</v>
      </c>
      <c r="F154" s="5" t="s">
        <v>47</v>
      </c>
      <c r="G154" s="5" t="s">
        <v>48</v>
      </c>
      <c r="H154" s="5">
        <v>2</v>
      </c>
      <c r="I154" s="5">
        <v>149.99</v>
      </c>
      <c r="J154" s="5" t="s">
        <v>22</v>
      </c>
      <c r="K154" s="5" t="s">
        <v>37</v>
      </c>
      <c r="L154" s="5" t="s">
        <v>38</v>
      </c>
      <c r="M154" s="6">
        <v>45101</v>
      </c>
      <c r="N154" s="5">
        <v>299.98</v>
      </c>
      <c r="O154" s="28">
        <f t="shared" ca="1" si="10"/>
        <v>996</v>
      </c>
      <c r="P154" s="28">
        <f>MONTH(Table1[[#This Row],[Date]])</f>
        <v>11</v>
      </c>
      <c r="Q154" s="28">
        <f t="shared" si="11"/>
        <v>2024</v>
      </c>
      <c r="R154" s="30" t="str">
        <f t="shared" si="12"/>
        <v>Normal</v>
      </c>
      <c r="S154" s="31">
        <f t="shared" si="13"/>
        <v>1289.9000000000001</v>
      </c>
    </row>
    <row r="155" spans="1:19" ht="15.75" customHeight="1" x14ac:dyDescent="0.3">
      <c r="A155" s="5" t="s">
        <v>298</v>
      </c>
      <c r="B155" s="6">
        <v>45627</v>
      </c>
      <c r="C155" s="5" t="s">
        <v>31</v>
      </c>
      <c r="D155" s="5" t="s">
        <v>32</v>
      </c>
      <c r="E155" s="5" t="s">
        <v>107</v>
      </c>
      <c r="F155" s="5" t="s">
        <v>108</v>
      </c>
      <c r="G155" s="5" t="s">
        <v>48</v>
      </c>
      <c r="H155" s="5">
        <v>3</v>
      </c>
      <c r="I155" s="5">
        <v>299.99</v>
      </c>
      <c r="J155" s="5" t="s">
        <v>22</v>
      </c>
      <c r="K155" s="5" t="s">
        <v>37</v>
      </c>
      <c r="L155" s="5" t="s">
        <v>29</v>
      </c>
      <c r="M155" s="6">
        <v>44659</v>
      </c>
      <c r="N155" s="5">
        <v>899.97</v>
      </c>
      <c r="O155" s="28">
        <f t="shared" ca="1" si="10"/>
        <v>1438</v>
      </c>
      <c r="P155" s="28">
        <f>MONTH(Table1[[#This Row],[Date]])</f>
        <v>12</v>
      </c>
      <c r="Q155" s="28">
        <f t="shared" si="11"/>
        <v>2024</v>
      </c>
      <c r="R155" s="30" t="str">
        <f t="shared" si="12"/>
        <v>Normal</v>
      </c>
      <c r="S155" s="31">
        <f t="shared" si="13"/>
        <v>3259.87</v>
      </c>
    </row>
    <row r="156" spans="1:19" ht="15.75" customHeight="1" x14ac:dyDescent="0.3">
      <c r="A156" s="5" t="s">
        <v>299</v>
      </c>
      <c r="B156" s="6">
        <v>45627</v>
      </c>
      <c r="C156" s="5" t="s">
        <v>57</v>
      </c>
      <c r="D156" s="5" t="s">
        <v>58</v>
      </c>
      <c r="E156" s="5" t="s">
        <v>19</v>
      </c>
      <c r="F156" s="5" t="s">
        <v>20</v>
      </c>
      <c r="G156" s="5" t="s">
        <v>21</v>
      </c>
      <c r="H156" s="5">
        <v>5</v>
      </c>
      <c r="I156" s="5">
        <v>249.99</v>
      </c>
      <c r="J156" s="5" t="s">
        <v>22</v>
      </c>
      <c r="K156" s="5" t="s">
        <v>23</v>
      </c>
      <c r="L156" s="5" t="s">
        <v>29</v>
      </c>
      <c r="M156" s="6">
        <v>44485</v>
      </c>
      <c r="N156" s="5">
        <v>1249.95</v>
      </c>
      <c r="O156" s="28">
        <f t="shared" ca="1" si="10"/>
        <v>1612</v>
      </c>
      <c r="P156" s="28">
        <f>MONTH(Table1[[#This Row],[Date]])</f>
        <v>12</v>
      </c>
      <c r="Q156" s="28">
        <f t="shared" si="11"/>
        <v>2024</v>
      </c>
      <c r="R156" s="30" t="str">
        <f t="shared" si="12"/>
        <v>High Value</v>
      </c>
      <c r="S156" s="31">
        <f t="shared" si="13"/>
        <v>5089.7300000000005</v>
      </c>
    </row>
    <row r="157" spans="1:19" ht="15.75" customHeight="1" x14ac:dyDescent="0.3">
      <c r="A157" s="5" t="s">
        <v>300</v>
      </c>
      <c r="B157" s="6">
        <v>45627</v>
      </c>
      <c r="C157" s="5" t="s">
        <v>26</v>
      </c>
      <c r="D157" s="5" t="s">
        <v>27</v>
      </c>
      <c r="E157" s="5" t="s">
        <v>54</v>
      </c>
      <c r="F157" s="5" t="s">
        <v>55</v>
      </c>
      <c r="G157" s="5" t="s">
        <v>21</v>
      </c>
      <c r="H157" s="5">
        <v>2</v>
      </c>
      <c r="I157" s="5">
        <v>149.99</v>
      </c>
      <c r="J157" s="5" t="s">
        <v>22</v>
      </c>
      <c r="K157" s="5" t="s">
        <v>37</v>
      </c>
      <c r="L157" s="5" t="s">
        <v>29</v>
      </c>
      <c r="M157" s="6">
        <v>44475</v>
      </c>
      <c r="N157" s="5">
        <v>299.98</v>
      </c>
      <c r="O157" s="28">
        <f t="shared" ca="1" si="10"/>
        <v>1622</v>
      </c>
      <c r="P157" s="28">
        <f>MONTH(Table1[[#This Row],[Date]])</f>
        <v>12</v>
      </c>
      <c r="Q157" s="28">
        <f t="shared" si="11"/>
        <v>2024</v>
      </c>
      <c r="R157" s="30" t="str">
        <f t="shared" si="12"/>
        <v>Normal</v>
      </c>
      <c r="S157" s="31">
        <f t="shared" si="13"/>
        <v>6949.84</v>
      </c>
    </row>
    <row r="158" spans="1:19" ht="15.75" customHeight="1" x14ac:dyDescent="0.3">
      <c r="A158" s="5" t="s">
        <v>301</v>
      </c>
      <c r="B158" s="6">
        <v>45627</v>
      </c>
      <c r="C158" s="5" t="s">
        <v>88</v>
      </c>
      <c r="D158" s="5" t="s">
        <v>89</v>
      </c>
      <c r="E158" s="5" t="s">
        <v>82</v>
      </c>
      <c r="F158" s="5" t="s">
        <v>83</v>
      </c>
      <c r="G158" s="5" t="s">
        <v>21</v>
      </c>
      <c r="H158" s="5">
        <v>5</v>
      </c>
      <c r="I158" s="5">
        <v>699.99</v>
      </c>
      <c r="J158" s="5" t="s">
        <v>59</v>
      </c>
      <c r="K158" s="5" t="s">
        <v>52</v>
      </c>
      <c r="L158" s="5" t="s">
        <v>38</v>
      </c>
      <c r="M158" s="6">
        <v>44944</v>
      </c>
      <c r="N158" s="5">
        <v>3499.95</v>
      </c>
      <c r="O158" s="28">
        <f t="shared" ca="1" si="10"/>
        <v>1153</v>
      </c>
      <c r="P158" s="28">
        <f>MONTH(Table1[[#This Row],[Date]])</f>
        <v>12</v>
      </c>
      <c r="Q158" s="28">
        <f t="shared" si="11"/>
        <v>2024</v>
      </c>
      <c r="R158" s="30" t="str">
        <f t="shared" si="12"/>
        <v>High Value</v>
      </c>
      <c r="S158" s="31">
        <f t="shared" si="13"/>
        <v>15659.65</v>
      </c>
    </row>
    <row r="159" spans="1:19" ht="15.75" customHeight="1" x14ac:dyDescent="0.3">
      <c r="A159" s="5" t="s">
        <v>302</v>
      </c>
      <c r="B159" s="6">
        <v>45629</v>
      </c>
      <c r="C159" s="5" t="s">
        <v>254</v>
      </c>
      <c r="D159" s="5" t="s">
        <v>255</v>
      </c>
      <c r="E159" s="5" t="s">
        <v>19</v>
      </c>
      <c r="F159" s="5" t="s">
        <v>20</v>
      </c>
      <c r="G159" s="5" t="s">
        <v>21</v>
      </c>
      <c r="H159" s="5">
        <v>4</v>
      </c>
      <c r="I159" s="5">
        <v>249.99</v>
      </c>
      <c r="J159" s="5" t="s">
        <v>36</v>
      </c>
      <c r="K159" s="5" t="s">
        <v>65</v>
      </c>
      <c r="L159" s="5" t="s">
        <v>29</v>
      </c>
      <c r="M159" s="6">
        <v>45098</v>
      </c>
      <c r="N159" s="5">
        <v>999.96</v>
      </c>
      <c r="O159" s="28">
        <f t="shared" ca="1" si="10"/>
        <v>999</v>
      </c>
      <c r="P159" s="28">
        <f>MONTH(Table1[[#This Row],[Date]])</f>
        <v>12</v>
      </c>
      <c r="Q159" s="28">
        <f t="shared" si="11"/>
        <v>2024</v>
      </c>
      <c r="R159" s="30" t="str">
        <f t="shared" si="12"/>
        <v>Normal</v>
      </c>
      <c r="S159" s="31">
        <f t="shared" si="13"/>
        <v>4749.91</v>
      </c>
    </row>
    <row r="160" spans="1:19" ht="15.75" customHeight="1" x14ac:dyDescent="0.3">
      <c r="A160" s="5" t="s">
        <v>303</v>
      </c>
      <c r="B160" s="6">
        <v>45630</v>
      </c>
      <c r="C160" s="5" t="s">
        <v>50</v>
      </c>
      <c r="D160" s="5" t="s">
        <v>51</v>
      </c>
      <c r="E160" s="5" t="s">
        <v>82</v>
      </c>
      <c r="F160" s="5" t="s">
        <v>83</v>
      </c>
      <c r="G160" s="5" t="s">
        <v>21</v>
      </c>
      <c r="H160" s="5">
        <v>4</v>
      </c>
      <c r="I160" s="5">
        <v>699.99</v>
      </c>
      <c r="J160" s="5" t="s">
        <v>28</v>
      </c>
      <c r="K160" s="5" t="s">
        <v>42</v>
      </c>
      <c r="L160" s="5" t="s">
        <v>29</v>
      </c>
      <c r="M160" s="6">
        <v>44703</v>
      </c>
      <c r="N160" s="5">
        <v>2799.96</v>
      </c>
      <c r="O160" s="28">
        <f t="shared" ca="1" si="10"/>
        <v>1394</v>
      </c>
      <c r="P160" s="28">
        <f>MONTH(Table1[[#This Row],[Date]])</f>
        <v>12</v>
      </c>
      <c r="Q160" s="28">
        <f t="shared" si="11"/>
        <v>2024</v>
      </c>
      <c r="R160" s="30" t="str">
        <f t="shared" si="12"/>
        <v>High Value</v>
      </c>
      <c r="S160" s="31">
        <f t="shared" si="13"/>
        <v>8269.7900000000009</v>
      </c>
    </row>
    <row r="161" spans="1:19" ht="15.75" customHeight="1" x14ac:dyDescent="0.3">
      <c r="A161" s="5" t="s">
        <v>304</v>
      </c>
      <c r="B161" s="6">
        <v>45635</v>
      </c>
      <c r="C161" s="5" t="s">
        <v>110</v>
      </c>
      <c r="D161" s="5" t="s">
        <v>111</v>
      </c>
      <c r="E161" s="5" t="s">
        <v>19</v>
      </c>
      <c r="F161" s="5" t="s">
        <v>20</v>
      </c>
      <c r="G161" s="5" t="s">
        <v>21</v>
      </c>
      <c r="H161" s="5">
        <v>2</v>
      </c>
      <c r="I161" s="5">
        <v>249.99</v>
      </c>
      <c r="J161" s="5" t="s">
        <v>28</v>
      </c>
      <c r="K161" s="5" t="s">
        <v>23</v>
      </c>
      <c r="L161" s="5" t="s">
        <v>29</v>
      </c>
      <c r="M161" s="6">
        <v>44396</v>
      </c>
      <c r="N161" s="5">
        <v>499.98</v>
      </c>
      <c r="O161" s="28">
        <f t="shared" ca="1" si="10"/>
        <v>1701</v>
      </c>
      <c r="P161" s="28">
        <f>MONTH(Table1[[#This Row],[Date]])</f>
        <v>12</v>
      </c>
      <c r="Q161" s="28">
        <f t="shared" si="11"/>
        <v>2024</v>
      </c>
      <c r="R161" s="30" t="str">
        <f t="shared" si="12"/>
        <v>Normal</v>
      </c>
      <c r="S161" s="31">
        <f t="shared" si="13"/>
        <v>4189.7700000000004</v>
      </c>
    </row>
    <row r="162" spans="1:19" ht="15.75" customHeight="1" x14ac:dyDescent="0.3">
      <c r="A162" s="5" t="s">
        <v>305</v>
      </c>
      <c r="B162" s="6">
        <v>45635</v>
      </c>
      <c r="C162" s="5" t="s">
        <v>306</v>
      </c>
      <c r="D162" s="5" t="s">
        <v>307</v>
      </c>
      <c r="E162" s="5" t="s">
        <v>33</v>
      </c>
      <c r="F162" s="5" t="s">
        <v>34</v>
      </c>
      <c r="G162" s="5" t="s">
        <v>35</v>
      </c>
      <c r="H162" s="5">
        <v>3</v>
      </c>
      <c r="I162" s="5">
        <v>59.99</v>
      </c>
      <c r="J162" s="5" t="s">
        <v>22</v>
      </c>
      <c r="K162" s="5" t="s">
        <v>23</v>
      </c>
      <c r="L162" s="5" t="s">
        <v>29</v>
      </c>
      <c r="M162" s="6">
        <v>45052</v>
      </c>
      <c r="N162" s="5">
        <v>179.97</v>
      </c>
      <c r="O162" s="28">
        <f t="shared" ca="1" si="10"/>
        <v>1045</v>
      </c>
      <c r="P162" s="28">
        <f>MONTH(Table1[[#This Row],[Date]])</f>
        <v>12</v>
      </c>
      <c r="Q162" s="28">
        <f t="shared" si="11"/>
        <v>2024</v>
      </c>
      <c r="R162" s="30" t="str">
        <f t="shared" si="12"/>
        <v>Normal</v>
      </c>
      <c r="S162" s="31">
        <f t="shared" si="13"/>
        <v>179.97</v>
      </c>
    </row>
    <row r="163" spans="1:19" ht="15.75" customHeight="1" x14ac:dyDescent="0.3">
      <c r="A163" s="5" t="s">
        <v>308</v>
      </c>
      <c r="B163" s="6">
        <v>45635</v>
      </c>
      <c r="C163" s="5" t="s">
        <v>143</v>
      </c>
      <c r="D163" s="5" t="s">
        <v>144</v>
      </c>
      <c r="E163" s="5" t="s">
        <v>116</v>
      </c>
      <c r="F163" s="5" t="s">
        <v>117</v>
      </c>
      <c r="G163" s="5" t="s">
        <v>35</v>
      </c>
      <c r="H163" s="5">
        <v>4</v>
      </c>
      <c r="I163" s="5">
        <v>79.989999999999995</v>
      </c>
      <c r="J163" s="5" t="s">
        <v>59</v>
      </c>
      <c r="K163" s="5" t="s">
        <v>65</v>
      </c>
      <c r="L163" s="5" t="s">
        <v>38</v>
      </c>
      <c r="M163" s="6">
        <v>44921</v>
      </c>
      <c r="N163" s="5">
        <v>319.95999999999998</v>
      </c>
      <c r="O163" s="28">
        <f t="shared" ca="1" si="10"/>
        <v>1176</v>
      </c>
      <c r="P163" s="28">
        <f>MONTH(Table1[[#This Row],[Date]])</f>
        <v>12</v>
      </c>
      <c r="Q163" s="28">
        <f t="shared" si="11"/>
        <v>2024</v>
      </c>
      <c r="R163" s="30" t="str">
        <f t="shared" si="12"/>
        <v>Normal</v>
      </c>
      <c r="S163" s="31">
        <f t="shared" si="13"/>
        <v>4739.8500000000004</v>
      </c>
    </row>
    <row r="164" spans="1:19" ht="15.75" customHeight="1" x14ac:dyDescent="0.3">
      <c r="A164" s="5" t="s">
        <v>309</v>
      </c>
      <c r="B164" s="6">
        <v>45636</v>
      </c>
      <c r="C164" s="5" t="s">
        <v>122</v>
      </c>
      <c r="D164" s="5" t="s">
        <v>123</v>
      </c>
      <c r="E164" s="5" t="s">
        <v>116</v>
      </c>
      <c r="F164" s="5" t="s">
        <v>117</v>
      </c>
      <c r="G164" s="5" t="s">
        <v>35</v>
      </c>
      <c r="H164" s="5">
        <v>3</v>
      </c>
      <c r="I164" s="5">
        <v>79.989999999999995</v>
      </c>
      <c r="J164" s="5" t="s">
        <v>59</v>
      </c>
      <c r="K164" s="5" t="s">
        <v>65</v>
      </c>
      <c r="L164" s="5" t="s">
        <v>38</v>
      </c>
      <c r="M164" s="6">
        <v>44779</v>
      </c>
      <c r="N164" s="5">
        <v>239.97</v>
      </c>
      <c r="O164" s="28">
        <f t="shared" ca="1" si="10"/>
        <v>1318</v>
      </c>
      <c r="P164" s="28">
        <f>MONTH(Table1[[#This Row],[Date]])</f>
        <v>12</v>
      </c>
      <c r="Q164" s="28">
        <f t="shared" si="11"/>
        <v>2024</v>
      </c>
      <c r="R164" s="30" t="str">
        <f t="shared" si="12"/>
        <v>Normal</v>
      </c>
      <c r="S164" s="31">
        <f t="shared" si="13"/>
        <v>6459.79</v>
      </c>
    </row>
    <row r="165" spans="1:19" ht="15.75" customHeight="1" x14ac:dyDescent="0.3">
      <c r="A165" s="5" t="s">
        <v>310</v>
      </c>
      <c r="B165" s="6">
        <v>45638</v>
      </c>
      <c r="C165" s="5" t="s">
        <v>74</v>
      </c>
      <c r="D165" s="5" t="s">
        <v>75</v>
      </c>
      <c r="E165" s="5" t="s">
        <v>63</v>
      </c>
      <c r="F165" s="5" t="s">
        <v>64</v>
      </c>
      <c r="G165" s="5" t="s">
        <v>21</v>
      </c>
      <c r="H165" s="5">
        <v>2</v>
      </c>
      <c r="I165" s="5">
        <v>899.99</v>
      </c>
      <c r="J165" s="5" t="s">
        <v>22</v>
      </c>
      <c r="K165" s="5" t="s">
        <v>42</v>
      </c>
      <c r="L165" s="5" t="s">
        <v>24</v>
      </c>
      <c r="M165" s="6">
        <v>44406</v>
      </c>
      <c r="N165" s="5">
        <v>1799.98</v>
      </c>
      <c r="O165" s="28">
        <f t="shared" ca="1" si="10"/>
        <v>1691</v>
      </c>
      <c r="P165" s="28">
        <f>MONTH(Table1[[#This Row],[Date]])</f>
        <v>12</v>
      </c>
      <c r="Q165" s="28">
        <f t="shared" si="11"/>
        <v>2024</v>
      </c>
      <c r="R165" s="30" t="str">
        <f t="shared" si="12"/>
        <v>High Value</v>
      </c>
      <c r="S165" s="31">
        <f t="shared" si="13"/>
        <v>5949.85</v>
      </c>
    </row>
    <row r="166" spans="1:19" ht="15.75" customHeight="1" x14ac:dyDescent="0.3">
      <c r="A166" s="5" t="s">
        <v>311</v>
      </c>
      <c r="B166" s="6">
        <v>45641</v>
      </c>
      <c r="C166" s="5" t="s">
        <v>184</v>
      </c>
      <c r="D166" s="5" t="s">
        <v>185</v>
      </c>
      <c r="E166" s="5" t="s">
        <v>46</v>
      </c>
      <c r="F166" s="5" t="s">
        <v>47</v>
      </c>
      <c r="G166" s="5" t="s">
        <v>48</v>
      </c>
      <c r="H166" s="5">
        <v>1</v>
      </c>
      <c r="I166" s="5">
        <v>149.99</v>
      </c>
      <c r="J166" s="5" t="s">
        <v>59</v>
      </c>
      <c r="K166" s="5" t="s">
        <v>65</v>
      </c>
      <c r="L166" s="5" t="s">
        <v>38</v>
      </c>
      <c r="M166" s="6">
        <v>45200</v>
      </c>
      <c r="N166" s="5">
        <v>149.99</v>
      </c>
      <c r="O166" s="28">
        <f t="shared" ca="1" si="10"/>
        <v>897</v>
      </c>
      <c r="P166" s="28">
        <f>MONTH(Table1[[#This Row],[Date]])</f>
        <v>12</v>
      </c>
      <c r="Q166" s="28">
        <f t="shared" si="11"/>
        <v>2024</v>
      </c>
      <c r="R166" s="30" t="str">
        <f t="shared" si="12"/>
        <v>Normal</v>
      </c>
      <c r="S166" s="31">
        <f t="shared" si="13"/>
        <v>1809.84</v>
      </c>
    </row>
    <row r="167" spans="1:19" ht="15.75" customHeight="1" x14ac:dyDescent="0.3">
      <c r="A167" s="5" t="s">
        <v>312</v>
      </c>
      <c r="B167" s="6">
        <v>45641</v>
      </c>
      <c r="C167" s="5" t="s">
        <v>140</v>
      </c>
      <c r="D167" s="5" t="s">
        <v>141</v>
      </c>
      <c r="E167" s="5" t="s">
        <v>107</v>
      </c>
      <c r="F167" s="5" t="s">
        <v>108</v>
      </c>
      <c r="G167" s="5" t="s">
        <v>48</v>
      </c>
      <c r="H167" s="5">
        <v>2</v>
      </c>
      <c r="I167" s="5">
        <v>299.99</v>
      </c>
      <c r="J167" s="5" t="s">
        <v>22</v>
      </c>
      <c r="K167" s="5" t="s">
        <v>65</v>
      </c>
      <c r="L167" s="5" t="s">
        <v>29</v>
      </c>
      <c r="M167" s="6">
        <v>44724</v>
      </c>
      <c r="N167" s="5">
        <v>599.98</v>
      </c>
      <c r="O167" s="28">
        <f t="shared" ca="1" si="10"/>
        <v>1373</v>
      </c>
      <c r="P167" s="28">
        <f>MONTH(Table1[[#This Row],[Date]])</f>
        <v>12</v>
      </c>
      <c r="Q167" s="28">
        <f t="shared" si="11"/>
        <v>2024</v>
      </c>
      <c r="R167" s="30" t="str">
        <f t="shared" si="12"/>
        <v>Normal</v>
      </c>
      <c r="S167" s="31">
        <f t="shared" si="13"/>
        <v>2649.83</v>
      </c>
    </row>
    <row r="168" spans="1:19" ht="15.75" customHeight="1" x14ac:dyDescent="0.3">
      <c r="A168" s="5" t="s">
        <v>313</v>
      </c>
      <c r="B168" s="6">
        <v>45644</v>
      </c>
      <c r="C168" s="5" t="s">
        <v>134</v>
      </c>
      <c r="D168" s="5" t="s">
        <v>135</v>
      </c>
      <c r="E168" s="5" t="s">
        <v>33</v>
      </c>
      <c r="F168" s="5" t="s">
        <v>34</v>
      </c>
      <c r="G168" s="5" t="s">
        <v>35</v>
      </c>
      <c r="H168" s="5">
        <v>2</v>
      </c>
      <c r="I168" s="5">
        <v>59.99</v>
      </c>
      <c r="J168" s="5" t="s">
        <v>22</v>
      </c>
      <c r="K168" s="5" t="s">
        <v>52</v>
      </c>
      <c r="L168" s="5" t="s">
        <v>24</v>
      </c>
      <c r="M168" s="6">
        <v>45191</v>
      </c>
      <c r="N168" s="5">
        <v>119.98</v>
      </c>
      <c r="O168" s="28">
        <f t="shared" ca="1" si="10"/>
        <v>906</v>
      </c>
      <c r="P168" s="28">
        <f>MONTH(Table1[[#This Row],[Date]])</f>
        <v>12</v>
      </c>
      <c r="Q168" s="28">
        <f t="shared" si="11"/>
        <v>2024</v>
      </c>
      <c r="R168" s="30" t="str">
        <f t="shared" si="12"/>
        <v>Normal</v>
      </c>
      <c r="S168" s="31">
        <f t="shared" si="13"/>
        <v>1229.8800000000001</v>
      </c>
    </row>
    <row r="169" spans="1:19" ht="15.75" customHeight="1" x14ac:dyDescent="0.3">
      <c r="A169" s="5" t="s">
        <v>314</v>
      </c>
      <c r="B169" s="6">
        <v>45645</v>
      </c>
      <c r="C169" s="5" t="s">
        <v>184</v>
      </c>
      <c r="D169" s="5" t="s">
        <v>185</v>
      </c>
      <c r="E169" s="5" t="s">
        <v>119</v>
      </c>
      <c r="F169" s="5" t="s">
        <v>120</v>
      </c>
      <c r="G169" s="5" t="s">
        <v>21</v>
      </c>
      <c r="H169" s="5">
        <v>1</v>
      </c>
      <c r="I169" s="5">
        <v>89.99</v>
      </c>
      <c r="J169" s="5" t="s">
        <v>59</v>
      </c>
      <c r="K169" s="5" t="s">
        <v>23</v>
      </c>
      <c r="L169" s="5" t="s">
        <v>38</v>
      </c>
      <c r="M169" s="6">
        <v>44760</v>
      </c>
      <c r="N169" s="5">
        <v>89.99</v>
      </c>
      <c r="O169" s="28">
        <f t="shared" ca="1" si="10"/>
        <v>1337</v>
      </c>
      <c r="P169" s="28">
        <f>MONTH(Table1[[#This Row],[Date]])</f>
        <v>12</v>
      </c>
      <c r="Q169" s="28">
        <f t="shared" si="11"/>
        <v>2024</v>
      </c>
      <c r="R169" s="30" t="str">
        <f t="shared" si="12"/>
        <v>Normal</v>
      </c>
      <c r="S169" s="31">
        <f t="shared" si="13"/>
        <v>1809.84</v>
      </c>
    </row>
    <row r="170" spans="1:19" ht="15.75" customHeight="1" x14ac:dyDescent="0.3">
      <c r="A170" s="5" t="s">
        <v>315</v>
      </c>
      <c r="B170" s="6">
        <v>45645</v>
      </c>
      <c r="C170" s="5" t="s">
        <v>149</v>
      </c>
      <c r="D170" s="5" t="s">
        <v>150</v>
      </c>
      <c r="E170" s="5" t="s">
        <v>63</v>
      </c>
      <c r="F170" s="5" t="s">
        <v>64</v>
      </c>
      <c r="G170" s="5" t="s">
        <v>21</v>
      </c>
      <c r="H170" s="5">
        <v>5</v>
      </c>
      <c r="I170" s="5">
        <v>899.99</v>
      </c>
      <c r="J170" s="5" t="s">
        <v>59</v>
      </c>
      <c r="K170" s="5" t="s">
        <v>65</v>
      </c>
      <c r="L170" s="5" t="s">
        <v>38</v>
      </c>
      <c r="M170" s="6">
        <v>44625</v>
      </c>
      <c r="N170" s="5">
        <v>4499.95</v>
      </c>
      <c r="O170" s="28">
        <f t="shared" ca="1" si="10"/>
        <v>1472</v>
      </c>
      <c r="P170" s="28">
        <f>MONTH(Table1[[#This Row],[Date]])</f>
        <v>12</v>
      </c>
      <c r="Q170" s="28">
        <f t="shared" si="11"/>
        <v>2024</v>
      </c>
      <c r="R170" s="30" t="str">
        <f t="shared" si="12"/>
        <v>High Value</v>
      </c>
      <c r="S170" s="31">
        <f t="shared" si="13"/>
        <v>7309.7999999999993</v>
      </c>
    </row>
    <row r="171" spans="1:19" ht="15.75" customHeight="1" x14ac:dyDescent="0.3">
      <c r="A171" s="5" t="s">
        <v>316</v>
      </c>
      <c r="B171" s="6">
        <v>45646</v>
      </c>
      <c r="C171" s="5" t="s">
        <v>44</v>
      </c>
      <c r="D171" s="5" t="s">
        <v>45</v>
      </c>
      <c r="E171" s="5" t="s">
        <v>46</v>
      </c>
      <c r="F171" s="5" t="s">
        <v>47</v>
      </c>
      <c r="G171" s="5" t="s">
        <v>48</v>
      </c>
      <c r="H171" s="5">
        <v>2</v>
      </c>
      <c r="I171" s="5">
        <v>149.99</v>
      </c>
      <c r="J171" s="5" t="s">
        <v>22</v>
      </c>
      <c r="K171" s="5" t="s">
        <v>37</v>
      </c>
      <c r="L171" s="5" t="s">
        <v>24</v>
      </c>
      <c r="M171" s="6">
        <v>45239</v>
      </c>
      <c r="N171" s="5">
        <v>299.98</v>
      </c>
      <c r="O171" s="28">
        <f t="shared" ca="1" si="10"/>
        <v>858</v>
      </c>
      <c r="P171" s="28">
        <f>MONTH(Table1[[#This Row],[Date]])</f>
        <v>12</v>
      </c>
      <c r="Q171" s="28">
        <f t="shared" si="11"/>
        <v>2024</v>
      </c>
      <c r="R171" s="30" t="str">
        <f t="shared" si="12"/>
        <v>Normal</v>
      </c>
      <c r="S171" s="31">
        <f t="shared" si="13"/>
        <v>6169.7400000000007</v>
      </c>
    </row>
    <row r="172" spans="1:19" ht="15.75" customHeight="1" x14ac:dyDescent="0.3">
      <c r="A172" s="5" t="s">
        <v>317</v>
      </c>
      <c r="B172" s="6">
        <v>45648</v>
      </c>
      <c r="C172" s="5" t="s">
        <v>114</v>
      </c>
      <c r="D172" s="5" t="s">
        <v>115</v>
      </c>
      <c r="E172" s="5" t="s">
        <v>54</v>
      </c>
      <c r="F172" s="5" t="s">
        <v>55</v>
      </c>
      <c r="G172" s="5" t="s">
        <v>21</v>
      </c>
      <c r="H172" s="5">
        <v>2</v>
      </c>
      <c r="I172" s="5">
        <v>149.99</v>
      </c>
      <c r="J172" s="5" t="s">
        <v>59</v>
      </c>
      <c r="K172" s="5" t="s">
        <v>52</v>
      </c>
      <c r="L172" s="5" t="s">
        <v>29</v>
      </c>
      <c r="M172" s="6">
        <v>45280</v>
      </c>
      <c r="N172" s="5">
        <v>299.98</v>
      </c>
      <c r="O172" s="28">
        <f t="shared" ca="1" si="10"/>
        <v>817</v>
      </c>
      <c r="P172" s="28">
        <f>MONTH(Table1[[#This Row],[Date]])</f>
        <v>12</v>
      </c>
      <c r="Q172" s="28">
        <f t="shared" si="11"/>
        <v>2024</v>
      </c>
      <c r="R172" s="30" t="str">
        <f t="shared" si="12"/>
        <v>Normal</v>
      </c>
      <c r="S172" s="31">
        <f t="shared" si="13"/>
        <v>1289.9000000000001</v>
      </c>
    </row>
    <row r="173" spans="1:19" ht="15.75" customHeight="1" x14ac:dyDescent="0.3">
      <c r="A173" s="5" t="s">
        <v>318</v>
      </c>
      <c r="B173" s="6">
        <v>45648</v>
      </c>
      <c r="C173" s="5" t="s">
        <v>184</v>
      </c>
      <c r="D173" s="5" t="s">
        <v>185</v>
      </c>
      <c r="E173" s="5" t="s">
        <v>46</v>
      </c>
      <c r="F173" s="5" t="s">
        <v>47</v>
      </c>
      <c r="G173" s="5" t="s">
        <v>48</v>
      </c>
      <c r="H173" s="5">
        <v>3</v>
      </c>
      <c r="I173" s="5">
        <v>149.99</v>
      </c>
      <c r="J173" s="5" t="s">
        <v>59</v>
      </c>
      <c r="K173" s="5" t="s">
        <v>42</v>
      </c>
      <c r="L173" s="5" t="s">
        <v>38</v>
      </c>
      <c r="M173" s="6">
        <v>44522</v>
      </c>
      <c r="N173" s="5">
        <v>449.97</v>
      </c>
      <c r="O173" s="28">
        <f t="shared" ca="1" si="10"/>
        <v>1575</v>
      </c>
      <c r="P173" s="28">
        <f>MONTH(Table1[[#This Row],[Date]])</f>
        <v>12</v>
      </c>
      <c r="Q173" s="28">
        <f t="shared" si="11"/>
        <v>2024</v>
      </c>
      <c r="R173" s="30" t="str">
        <f t="shared" si="12"/>
        <v>Normal</v>
      </c>
      <c r="S173" s="31">
        <f t="shared" si="13"/>
        <v>1809.84</v>
      </c>
    </row>
    <row r="174" spans="1:19" ht="15.75" customHeight="1" x14ac:dyDescent="0.3">
      <c r="A174" s="5" t="s">
        <v>319</v>
      </c>
      <c r="B174" s="6">
        <v>45649</v>
      </c>
      <c r="C174" s="5" t="s">
        <v>31</v>
      </c>
      <c r="D174" s="5" t="s">
        <v>32</v>
      </c>
      <c r="E174" s="5" t="s">
        <v>107</v>
      </c>
      <c r="F174" s="5" t="s">
        <v>108</v>
      </c>
      <c r="G174" s="5" t="s">
        <v>48</v>
      </c>
      <c r="H174" s="5">
        <v>2</v>
      </c>
      <c r="I174" s="5">
        <v>299.99</v>
      </c>
      <c r="J174" s="5" t="s">
        <v>36</v>
      </c>
      <c r="K174" s="5" t="s">
        <v>37</v>
      </c>
      <c r="L174" s="5" t="s">
        <v>24</v>
      </c>
      <c r="M174" s="6">
        <v>44721</v>
      </c>
      <c r="N174" s="5">
        <v>599.98</v>
      </c>
      <c r="O174" s="28">
        <f t="shared" ca="1" si="10"/>
        <v>1376</v>
      </c>
      <c r="P174" s="28">
        <f>MONTH(Table1[[#This Row],[Date]])</f>
        <v>12</v>
      </c>
      <c r="Q174" s="28">
        <f t="shared" si="11"/>
        <v>2024</v>
      </c>
      <c r="R174" s="30" t="str">
        <f t="shared" si="12"/>
        <v>Normal</v>
      </c>
      <c r="S174" s="31">
        <f t="shared" si="13"/>
        <v>3259.87</v>
      </c>
    </row>
    <row r="175" spans="1:19" ht="15.75" customHeight="1" x14ac:dyDescent="0.3">
      <c r="A175" s="5" t="s">
        <v>320</v>
      </c>
      <c r="B175" s="6">
        <v>45654</v>
      </c>
      <c r="C175" s="5" t="s">
        <v>44</v>
      </c>
      <c r="D175" s="5" t="s">
        <v>45</v>
      </c>
      <c r="E175" s="5" t="s">
        <v>107</v>
      </c>
      <c r="F175" s="5" t="s">
        <v>108</v>
      </c>
      <c r="G175" s="5" t="s">
        <v>48</v>
      </c>
      <c r="H175" s="5">
        <v>2</v>
      </c>
      <c r="I175" s="5">
        <v>299.99</v>
      </c>
      <c r="J175" s="5" t="s">
        <v>22</v>
      </c>
      <c r="K175" s="5" t="s">
        <v>52</v>
      </c>
      <c r="L175" s="5" t="s">
        <v>24</v>
      </c>
      <c r="M175" s="6">
        <v>44771</v>
      </c>
      <c r="N175" s="5">
        <v>599.98</v>
      </c>
      <c r="O175" s="28">
        <f t="shared" ca="1" si="10"/>
        <v>1326</v>
      </c>
      <c r="P175" s="28">
        <f>MONTH(Table1[[#This Row],[Date]])</f>
        <v>12</v>
      </c>
      <c r="Q175" s="28">
        <f t="shared" si="11"/>
        <v>2024</v>
      </c>
      <c r="R175" s="30" t="str">
        <f t="shared" si="12"/>
        <v>Normal</v>
      </c>
      <c r="S175" s="31">
        <f t="shared" si="13"/>
        <v>6169.7400000000007</v>
      </c>
    </row>
    <row r="176" spans="1:19" ht="15.75" customHeight="1" x14ac:dyDescent="0.3">
      <c r="A176" s="5" t="s">
        <v>321</v>
      </c>
      <c r="B176" s="6">
        <v>45654</v>
      </c>
      <c r="C176" s="5" t="s">
        <v>122</v>
      </c>
      <c r="D176" s="5" t="s">
        <v>123</v>
      </c>
      <c r="E176" s="5" t="s">
        <v>128</v>
      </c>
      <c r="F176" s="5" t="s">
        <v>129</v>
      </c>
      <c r="G176" s="5" t="s">
        <v>48</v>
      </c>
      <c r="H176" s="5">
        <v>4</v>
      </c>
      <c r="I176" s="5">
        <v>199.99</v>
      </c>
      <c r="J176" s="5" t="s">
        <v>28</v>
      </c>
      <c r="K176" s="5" t="s">
        <v>23</v>
      </c>
      <c r="L176" s="5" t="s">
        <v>24</v>
      </c>
      <c r="M176" s="6">
        <v>44523</v>
      </c>
      <c r="N176" s="5">
        <v>799.96</v>
      </c>
      <c r="O176" s="28">
        <f t="shared" ca="1" si="10"/>
        <v>1574</v>
      </c>
      <c r="P176" s="28">
        <f>MONTH(Table1[[#This Row],[Date]])</f>
        <v>12</v>
      </c>
      <c r="Q176" s="28">
        <f t="shared" si="11"/>
        <v>2024</v>
      </c>
      <c r="R176" s="30" t="str">
        <f t="shared" si="12"/>
        <v>Normal</v>
      </c>
      <c r="S176" s="31">
        <f t="shared" si="13"/>
        <v>6459.79</v>
      </c>
    </row>
    <row r="177" spans="1:19" ht="15.75" customHeight="1" x14ac:dyDescent="0.3">
      <c r="A177" s="5" t="s">
        <v>322</v>
      </c>
      <c r="B177" s="6">
        <v>45655</v>
      </c>
      <c r="C177" s="5" t="s">
        <v>61</v>
      </c>
      <c r="D177" s="5" t="s">
        <v>62</v>
      </c>
      <c r="E177" s="5" t="s">
        <v>119</v>
      </c>
      <c r="F177" s="5" t="s">
        <v>120</v>
      </c>
      <c r="G177" s="5" t="s">
        <v>21</v>
      </c>
      <c r="H177" s="5">
        <v>1</v>
      </c>
      <c r="I177" s="5">
        <v>89.99</v>
      </c>
      <c r="J177" s="5" t="s">
        <v>28</v>
      </c>
      <c r="K177" s="5" t="s">
        <v>37</v>
      </c>
      <c r="L177" s="5" t="s">
        <v>29</v>
      </c>
      <c r="M177" s="6">
        <v>44591</v>
      </c>
      <c r="N177" s="5">
        <v>89.99</v>
      </c>
      <c r="O177" s="28">
        <f t="shared" ca="1" si="10"/>
        <v>1506</v>
      </c>
      <c r="P177" s="28">
        <f>MONTH(Table1[[#This Row],[Date]])</f>
        <v>12</v>
      </c>
      <c r="Q177" s="28">
        <f t="shared" si="11"/>
        <v>2024</v>
      </c>
      <c r="R177" s="30" t="str">
        <f t="shared" si="12"/>
        <v>Normal</v>
      </c>
      <c r="S177" s="31">
        <f t="shared" si="13"/>
        <v>3509.8999999999996</v>
      </c>
    </row>
    <row r="178" spans="1:19" ht="15.75" customHeight="1" x14ac:dyDescent="0.3">
      <c r="A178" s="5" t="s">
        <v>323</v>
      </c>
      <c r="B178" s="6">
        <v>45655</v>
      </c>
      <c r="C178" s="5" t="s">
        <v>110</v>
      </c>
      <c r="D178" s="5" t="s">
        <v>111</v>
      </c>
      <c r="E178" s="5" t="s">
        <v>46</v>
      </c>
      <c r="F178" s="5" t="s">
        <v>47</v>
      </c>
      <c r="G178" s="5" t="s">
        <v>48</v>
      </c>
      <c r="H178" s="5">
        <v>5</v>
      </c>
      <c r="I178" s="5">
        <v>149.99</v>
      </c>
      <c r="J178" s="5" t="s">
        <v>22</v>
      </c>
      <c r="K178" s="5" t="s">
        <v>23</v>
      </c>
      <c r="L178" s="5" t="s">
        <v>29</v>
      </c>
      <c r="M178" s="6">
        <v>45347</v>
      </c>
      <c r="N178" s="5">
        <v>749.95</v>
      </c>
      <c r="O178" s="28">
        <f t="shared" ca="1" si="10"/>
        <v>750</v>
      </c>
      <c r="P178" s="28">
        <f>MONTH(Table1[[#This Row],[Date]])</f>
        <v>12</v>
      </c>
      <c r="Q178" s="28">
        <f t="shared" si="11"/>
        <v>2024</v>
      </c>
      <c r="R178" s="30" t="str">
        <f t="shared" si="12"/>
        <v>Normal</v>
      </c>
      <c r="S178" s="31">
        <f t="shared" si="13"/>
        <v>4189.7700000000004</v>
      </c>
    </row>
    <row r="179" spans="1:19" ht="15.75" customHeight="1" x14ac:dyDescent="0.3">
      <c r="A179" s="5" t="s">
        <v>324</v>
      </c>
      <c r="B179" s="6">
        <v>45657</v>
      </c>
      <c r="C179" s="5" t="s">
        <v>88</v>
      </c>
      <c r="D179" s="5" t="s">
        <v>89</v>
      </c>
      <c r="E179" s="5" t="s">
        <v>63</v>
      </c>
      <c r="F179" s="5" t="s">
        <v>64</v>
      </c>
      <c r="G179" s="5" t="s">
        <v>21</v>
      </c>
      <c r="H179" s="5">
        <v>1</v>
      </c>
      <c r="I179" s="5">
        <v>899.99</v>
      </c>
      <c r="J179" s="5" t="s">
        <v>36</v>
      </c>
      <c r="K179" s="5" t="s">
        <v>42</v>
      </c>
      <c r="L179" s="5" t="s">
        <v>29</v>
      </c>
      <c r="M179" s="6">
        <v>45050</v>
      </c>
      <c r="N179" s="5">
        <v>899.99</v>
      </c>
      <c r="O179" s="28">
        <f t="shared" ca="1" si="10"/>
        <v>1047</v>
      </c>
      <c r="P179" s="28">
        <f>MONTH(Table1[[#This Row],[Date]])</f>
        <v>12</v>
      </c>
      <c r="Q179" s="28">
        <f t="shared" si="11"/>
        <v>2024</v>
      </c>
      <c r="R179" s="30" t="str">
        <f t="shared" si="12"/>
        <v>Normal</v>
      </c>
      <c r="S179" s="31">
        <f t="shared" si="13"/>
        <v>15659.65</v>
      </c>
    </row>
    <row r="180" spans="1:19" ht="15.75" customHeight="1" x14ac:dyDescent="0.3">
      <c r="A180" s="5" t="s">
        <v>325</v>
      </c>
      <c r="B180" s="6">
        <v>45660</v>
      </c>
      <c r="C180" s="5" t="s">
        <v>149</v>
      </c>
      <c r="D180" s="5" t="s">
        <v>150</v>
      </c>
      <c r="E180" s="5" t="s">
        <v>119</v>
      </c>
      <c r="F180" s="5" t="s">
        <v>120</v>
      </c>
      <c r="G180" s="5" t="s">
        <v>21</v>
      </c>
      <c r="H180" s="5">
        <v>2</v>
      </c>
      <c r="I180" s="5">
        <v>89.99</v>
      </c>
      <c r="J180" s="5" t="s">
        <v>28</v>
      </c>
      <c r="K180" s="5" t="s">
        <v>37</v>
      </c>
      <c r="L180" s="5" t="s">
        <v>29</v>
      </c>
      <c r="M180" s="6">
        <v>44564</v>
      </c>
      <c r="N180" s="5">
        <v>179.98</v>
      </c>
      <c r="O180" s="28">
        <f t="shared" ca="1" si="10"/>
        <v>1533</v>
      </c>
      <c r="P180" s="28">
        <f>MONTH(Table1[[#This Row],[Date]])</f>
        <v>1</v>
      </c>
      <c r="Q180" s="28">
        <f t="shared" si="11"/>
        <v>2025</v>
      </c>
      <c r="R180" s="30" t="str">
        <f t="shared" si="12"/>
        <v>Normal</v>
      </c>
      <c r="S180" s="31">
        <f t="shared" si="13"/>
        <v>7309.7999999999993</v>
      </c>
    </row>
    <row r="181" spans="1:19" ht="15.75" customHeight="1" x14ac:dyDescent="0.3">
      <c r="A181" s="5" t="s">
        <v>326</v>
      </c>
      <c r="B181" s="6">
        <v>45661</v>
      </c>
      <c r="C181" s="5" t="s">
        <v>327</v>
      </c>
      <c r="D181" s="5" t="s">
        <v>328</v>
      </c>
      <c r="E181" s="5" t="s">
        <v>63</v>
      </c>
      <c r="F181" s="5" t="s">
        <v>64</v>
      </c>
      <c r="G181" s="5" t="s">
        <v>21</v>
      </c>
      <c r="H181" s="5">
        <v>1</v>
      </c>
      <c r="I181" s="5">
        <v>899.99</v>
      </c>
      <c r="J181" s="5" t="s">
        <v>36</v>
      </c>
      <c r="K181" s="5" t="s">
        <v>42</v>
      </c>
      <c r="L181" s="5" t="s">
        <v>38</v>
      </c>
      <c r="M181" s="6">
        <v>44752</v>
      </c>
      <c r="N181" s="5">
        <v>899.99</v>
      </c>
      <c r="O181" s="28">
        <f t="shared" ca="1" si="10"/>
        <v>1345</v>
      </c>
      <c r="P181" s="28">
        <f>MONTH(Table1[[#This Row],[Date]])</f>
        <v>1</v>
      </c>
      <c r="Q181" s="28">
        <f t="shared" si="11"/>
        <v>2025</v>
      </c>
      <c r="R181" s="30" t="str">
        <f t="shared" si="12"/>
        <v>Normal</v>
      </c>
      <c r="S181" s="31">
        <f t="shared" si="13"/>
        <v>1559.94</v>
      </c>
    </row>
    <row r="182" spans="1:19" ht="15.75" customHeight="1" x14ac:dyDescent="0.3">
      <c r="A182" s="5" t="s">
        <v>329</v>
      </c>
      <c r="B182" s="6">
        <v>45663</v>
      </c>
      <c r="C182" s="5" t="s">
        <v>131</v>
      </c>
      <c r="D182" s="5" t="s">
        <v>132</v>
      </c>
      <c r="E182" s="5" t="s">
        <v>54</v>
      </c>
      <c r="F182" s="5" t="s">
        <v>55</v>
      </c>
      <c r="G182" s="5" t="s">
        <v>21</v>
      </c>
      <c r="H182" s="5">
        <v>5</v>
      </c>
      <c r="I182" s="5">
        <v>149.99</v>
      </c>
      <c r="J182" s="5" t="s">
        <v>36</v>
      </c>
      <c r="K182" s="5" t="s">
        <v>65</v>
      </c>
      <c r="L182" s="5" t="s">
        <v>29</v>
      </c>
      <c r="M182" s="6">
        <v>44824</v>
      </c>
      <c r="N182" s="5">
        <v>749.95</v>
      </c>
      <c r="O182" s="28">
        <f t="shared" ca="1" si="10"/>
        <v>1273</v>
      </c>
      <c r="P182" s="28">
        <f>MONTH(Table1[[#This Row],[Date]])</f>
        <v>1</v>
      </c>
      <c r="Q182" s="28">
        <f t="shared" si="11"/>
        <v>2025</v>
      </c>
      <c r="R182" s="30" t="str">
        <f t="shared" si="12"/>
        <v>Normal</v>
      </c>
      <c r="S182" s="31">
        <f t="shared" si="13"/>
        <v>2039.8000000000002</v>
      </c>
    </row>
    <row r="183" spans="1:19" ht="15.75" customHeight="1" x14ac:dyDescent="0.3">
      <c r="A183" s="5" t="s">
        <v>330</v>
      </c>
      <c r="B183" s="6">
        <v>45663</v>
      </c>
      <c r="C183" s="5" t="s">
        <v>44</v>
      </c>
      <c r="D183" s="5" t="s">
        <v>45</v>
      </c>
      <c r="E183" s="5" t="s">
        <v>107</v>
      </c>
      <c r="F183" s="5" t="s">
        <v>108</v>
      </c>
      <c r="G183" s="5" t="s">
        <v>48</v>
      </c>
      <c r="H183" s="5">
        <v>3</v>
      </c>
      <c r="I183" s="5">
        <v>299.99</v>
      </c>
      <c r="J183" s="5" t="s">
        <v>22</v>
      </c>
      <c r="K183" s="5" t="s">
        <v>37</v>
      </c>
      <c r="L183" s="5" t="s">
        <v>38</v>
      </c>
      <c r="M183" s="6">
        <v>44422</v>
      </c>
      <c r="N183" s="5">
        <v>899.97</v>
      </c>
      <c r="O183" s="28">
        <f t="shared" ca="1" si="10"/>
        <v>1675</v>
      </c>
      <c r="P183" s="28">
        <f>MONTH(Table1[[#This Row],[Date]])</f>
        <v>1</v>
      </c>
      <c r="Q183" s="28">
        <f t="shared" si="11"/>
        <v>2025</v>
      </c>
      <c r="R183" s="30" t="str">
        <f t="shared" si="12"/>
        <v>Normal</v>
      </c>
      <c r="S183" s="31">
        <f t="shared" si="13"/>
        <v>6169.7400000000007</v>
      </c>
    </row>
    <row r="184" spans="1:19" ht="15.75" customHeight="1" x14ac:dyDescent="0.3">
      <c r="A184" s="5" t="s">
        <v>331</v>
      </c>
      <c r="B184" s="6">
        <v>45666</v>
      </c>
      <c r="C184" s="5" t="s">
        <v>67</v>
      </c>
      <c r="D184" s="5" t="s">
        <v>68</v>
      </c>
      <c r="E184" s="5" t="s">
        <v>82</v>
      </c>
      <c r="F184" s="5" t="s">
        <v>83</v>
      </c>
      <c r="G184" s="5" t="s">
        <v>21</v>
      </c>
      <c r="H184" s="5">
        <v>3</v>
      </c>
      <c r="I184" s="5">
        <v>699.99</v>
      </c>
      <c r="J184" s="5" t="s">
        <v>28</v>
      </c>
      <c r="K184" s="5" t="s">
        <v>23</v>
      </c>
      <c r="L184" s="5" t="s">
        <v>29</v>
      </c>
      <c r="M184" s="6">
        <v>45105</v>
      </c>
      <c r="N184" s="5">
        <v>2099.9699999999998</v>
      </c>
      <c r="O184" s="28">
        <f t="shared" ca="1" si="10"/>
        <v>992</v>
      </c>
      <c r="P184" s="28">
        <f>MONTH(Table1[[#This Row],[Date]])</f>
        <v>1</v>
      </c>
      <c r="Q184" s="28">
        <f t="shared" si="11"/>
        <v>2025</v>
      </c>
      <c r="R184" s="30" t="str">
        <f t="shared" si="12"/>
        <v>High Value</v>
      </c>
      <c r="S184" s="31">
        <f t="shared" si="13"/>
        <v>8009.7699999999995</v>
      </c>
    </row>
    <row r="185" spans="1:19" ht="15.75" customHeight="1" x14ac:dyDescent="0.3">
      <c r="A185" s="5" t="s">
        <v>332</v>
      </c>
      <c r="B185" s="6">
        <v>45667</v>
      </c>
      <c r="C185" s="5" t="s">
        <v>110</v>
      </c>
      <c r="D185" s="5" t="s">
        <v>111</v>
      </c>
      <c r="E185" s="5" t="s">
        <v>128</v>
      </c>
      <c r="F185" s="5" t="s">
        <v>129</v>
      </c>
      <c r="G185" s="5" t="s">
        <v>48</v>
      </c>
      <c r="H185" s="5">
        <v>5</v>
      </c>
      <c r="I185" s="5">
        <v>199.99</v>
      </c>
      <c r="J185" s="5" t="s">
        <v>36</v>
      </c>
      <c r="K185" s="5" t="s">
        <v>23</v>
      </c>
      <c r="L185" s="5" t="s">
        <v>38</v>
      </c>
      <c r="M185" s="6">
        <v>44633</v>
      </c>
      <c r="N185" s="5">
        <v>999.95</v>
      </c>
      <c r="O185" s="28">
        <f t="shared" ca="1" si="10"/>
        <v>1464</v>
      </c>
      <c r="P185" s="28">
        <f>MONTH(Table1[[#This Row],[Date]])</f>
        <v>1</v>
      </c>
      <c r="Q185" s="28">
        <f t="shared" si="11"/>
        <v>2025</v>
      </c>
      <c r="R185" s="30" t="str">
        <f t="shared" si="12"/>
        <v>Normal</v>
      </c>
      <c r="S185" s="31">
        <f t="shared" si="13"/>
        <v>4189.7700000000004</v>
      </c>
    </row>
    <row r="186" spans="1:19" ht="15.75" customHeight="1" x14ac:dyDescent="0.3">
      <c r="A186" s="5" t="s">
        <v>333</v>
      </c>
      <c r="B186" s="6">
        <v>45667</v>
      </c>
      <c r="C186" s="5" t="s">
        <v>95</v>
      </c>
      <c r="D186" s="5" t="s">
        <v>96</v>
      </c>
      <c r="E186" s="5" t="s">
        <v>19</v>
      </c>
      <c r="F186" s="5" t="s">
        <v>20</v>
      </c>
      <c r="G186" s="5" t="s">
        <v>21</v>
      </c>
      <c r="H186" s="5">
        <v>5</v>
      </c>
      <c r="I186" s="5">
        <v>249.99</v>
      </c>
      <c r="J186" s="5" t="s">
        <v>28</v>
      </c>
      <c r="K186" s="5" t="s">
        <v>37</v>
      </c>
      <c r="L186" s="5" t="s">
        <v>24</v>
      </c>
      <c r="M186" s="6">
        <v>45330</v>
      </c>
      <c r="N186" s="5">
        <v>1249.95</v>
      </c>
      <c r="O186" s="28">
        <f t="shared" ca="1" si="10"/>
        <v>767</v>
      </c>
      <c r="P186" s="28">
        <f>MONTH(Table1[[#This Row],[Date]])</f>
        <v>1</v>
      </c>
      <c r="Q186" s="28">
        <f t="shared" si="11"/>
        <v>2025</v>
      </c>
      <c r="R186" s="30" t="str">
        <f t="shared" si="12"/>
        <v>High Value</v>
      </c>
      <c r="S186" s="31">
        <f t="shared" si="13"/>
        <v>4789.7900000000009</v>
      </c>
    </row>
    <row r="187" spans="1:19" ht="15.75" customHeight="1" x14ac:dyDescent="0.3">
      <c r="A187" s="5" t="s">
        <v>334</v>
      </c>
      <c r="B187" s="6">
        <v>45668</v>
      </c>
      <c r="C187" s="5" t="s">
        <v>140</v>
      </c>
      <c r="D187" s="5" t="s">
        <v>141</v>
      </c>
      <c r="E187" s="5" t="s">
        <v>54</v>
      </c>
      <c r="F187" s="5" t="s">
        <v>55</v>
      </c>
      <c r="G187" s="5" t="s">
        <v>21</v>
      </c>
      <c r="H187" s="5">
        <v>4</v>
      </c>
      <c r="I187" s="5">
        <v>149.99</v>
      </c>
      <c r="J187" s="5" t="s">
        <v>59</v>
      </c>
      <c r="K187" s="5" t="s">
        <v>65</v>
      </c>
      <c r="L187" s="5" t="s">
        <v>38</v>
      </c>
      <c r="M187" s="6">
        <v>44536</v>
      </c>
      <c r="N187" s="5">
        <v>599.96</v>
      </c>
      <c r="O187" s="28">
        <f t="shared" ca="1" si="10"/>
        <v>1561</v>
      </c>
      <c r="P187" s="28">
        <f>MONTH(Table1[[#This Row],[Date]])</f>
        <v>1</v>
      </c>
      <c r="Q187" s="28">
        <f t="shared" si="11"/>
        <v>2025</v>
      </c>
      <c r="R187" s="30" t="str">
        <f t="shared" si="12"/>
        <v>Normal</v>
      </c>
      <c r="S187" s="31">
        <f t="shared" si="13"/>
        <v>2649.83</v>
      </c>
    </row>
    <row r="188" spans="1:19" ht="15.75" customHeight="1" x14ac:dyDescent="0.3">
      <c r="A188" s="5" t="s">
        <v>335</v>
      </c>
      <c r="B188" s="6">
        <v>45668</v>
      </c>
      <c r="C188" s="5" t="s">
        <v>80</v>
      </c>
      <c r="D188" s="5" t="s">
        <v>81</v>
      </c>
      <c r="E188" s="5" t="s">
        <v>82</v>
      </c>
      <c r="F188" s="5" t="s">
        <v>83</v>
      </c>
      <c r="G188" s="5" t="s">
        <v>21</v>
      </c>
      <c r="H188" s="5">
        <v>3</v>
      </c>
      <c r="I188" s="5">
        <v>699.99</v>
      </c>
      <c r="J188" s="5" t="s">
        <v>22</v>
      </c>
      <c r="K188" s="5" t="s">
        <v>42</v>
      </c>
      <c r="L188" s="5" t="s">
        <v>29</v>
      </c>
      <c r="M188" s="6">
        <v>44602</v>
      </c>
      <c r="N188" s="5">
        <v>2099.9699999999998</v>
      </c>
      <c r="O188" s="28">
        <f t="shared" ca="1" si="10"/>
        <v>1495</v>
      </c>
      <c r="P188" s="28">
        <f>MONTH(Table1[[#This Row],[Date]])</f>
        <v>1</v>
      </c>
      <c r="Q188" s="28">
        <f t="shared" si="11"/>
        <v>2025</v>
      </c>
      <c r="R188" s="30" t="str">
        <f t="shared" si="12"/>
        <v>High Value</v>
      </c>
      <c r="S188" s="31">
        <f t="shared" si="13"/>
        <v>4199.9399999999996</v>
      </c>
    </row>
    <row r="189" spans="1:19" ht="15.75" customHeight="1" x14ac:dyDescent="0.3">
      <c r="A189" s="5" t="s">
        <v>336</v>
      </c>
      <c r="B189" s="6">
        <v>45670</v>
      </c>
      <c r="C189" s="5" t="s">
        <v>295</v>
      </c>
      <c r="D189" s="5" t="s">
        <v>296</v>
      </c>
      <c r="E189" s="5" t="s">
        <v>116</v>
      </c>
      <c r="F189" s="5" t="s">
        <v>117</v>
      </c>
      <c r="G189" s="5" t="s">
        <v>35</v>
      </c>
      <c r="H189" s="5">
        <v>1</v>
      </c>
      <c r="I189" s="5">
        <v>79.989999999999995</v>
      </c>
      <c r="J189" s="5" t="s">
        <v>28</v>
      </c>
      <c r="K189" s="5" t="s">
        <v>37</v>
      </c>
      <c r="L189" s="5" t="s">
        <v>24</v>
      </c>
      <c r="M189" s="6">
        <v>45322</v>
      </c>
      <c r="N189" s="5">
        <v>79.989999999999995</v>
      </c>
      <c r="O189" s="28">
        <f t="shared" ca="1" si="10"/>
        <v>775</v>
      </c>
      <c r="P189" s="28">
        <f>MONTH(Table1[[#This Row],[Date]])</f>
        <v>1</v>
      </c>
      <c r="Q189" s="28">
        <f t="shared" si="11"/>
        <v>2025</v>
      </c>
      <c r="R189" s="30" t="str">
        <f t="shared" si="12"/>
        <v>Normal</v>
      </c>
      <c r="S189" s="31">
        <f t="shared" si="13"/>
        <v>4829.8899999999994</v>
      </c>
    </row>
    <row r="190" spans="1:19" ht="15.75" customHeight="1" x14ac:dyDescent="0.3">
      <c r="A190" s="5" t="s">
        <v>337</v>
      </c>
      <c r="B190" s="6">
        <v>45670</v>
      </c>
      <c r="C190" s="5" t="s">
        <v>88</v>
      </c>
      <c r="D190" s="5" t="s">
        <v>89</v>
      </c>
      <c r="E190" s="5" t="s">
        <v>107</v>
      </c>
      <c r="F190" s="5" t="s">
        <v>108</v>
      </c>
      <c r="G190" s="5" t="s">
        <v>48</v>
      </c>
      <c r="H190" s="5">
        <v>1</v>
      </c>
      <c r="I190" s="5">
        <v>299.99</v>
      </c>
      <c r="J190" s="5" t="s">
        <v>28</v>
      </c>
      <c r="K190" s="5" t="s">
        <v>42</v>
      </c>
      <c r="L190" s="5" t="s">
        <v>24</v>
      </c>
      <c r="M190" s="6">
        <v>44436</v>
      </c>
      <c r="N190" s="5">
        <v>299.99</v>
      </c>
      <c r="O190" s="28">
        <f t="shared" ca="1" si="10"/>
        <v>1661</v>
      </c>
      <c r="P190" s="28">
        <f>MONTH(Table1[[#This Row],[Date]])</f>
        <v>1</v>
      </c>
      <c r="Q190" s="28">
        <f t="shared" si="11"/>
        <v>2025</v>
      </c>
      <c r="R190" s="30" t="str">
        <f t="shared" si="12"/>
        <v>Normal</v>
      </c>
      <c r="S190" s="31">
        <f t="shared" si="13"/>
        <v>15659.65</v>
      </c>
    </row>
    <row r="191" spans="1:19" ht="15.75" customHeight="1" x14ac:dyDescent="0.3">
      <c r="A191" s="5" t="s">
        <v>338</v>
      </c>
      <c r="B191" s="6">
        <v>45671</v>
      </c>
      <c r="C191" s="5" t="s">
        <v>160</v>
      </c>
      <c r="D191" s="5" t="s">
        <v>161</v>
      </c>
      <c r="E191" s="5" t="s">
        <v>19</v>
      </c>
      <c r="F191" s="5" t="s">
        <v>20</v>
      </c>
      <c r="G191" s="5" t="s">
        <v>21</v>
      </c>
      <c r="H191" s="5">
        <v>4</v>
      </c>
      <c r="I191" s="5">
        <v>249.99</v>
      </c>
      <c r="J191" s="5" t="s">
        <v>28</v>
      </c>
      <c r="K191" s="5" t="s">
        <v>42</v>
      </c>
      <c r="L191" s="5" t="s">
        <v>29</v>
      </c>
      <c r="M191" s="6">
        <v>44460</v>
      </c>
      <c r="N191" s="5">
        <v>999.96</v>
      </c>
      <c r="O191" s="28">
        <f t="shared" ca="1" si="10"/>
        <v>1637</v>
      </c>
      <c r="P191" s="28">
        <f>MONTH(Table1[[#This Row],[Date]])</f>
        <v>1</v>
      </c>
      <c r="Q191" s="28">
        <f t="shared" si="11"/>
        <v>2025</v>
      </c>
      <c r="R191" s="30" t="str">
        <f t="shared" si="12"/>
        <v>Normal</v>
      </c>
      <c r="S191" s="31">
        <f t="shared" si="13"/>
        <v>5649.84</v>
      </c>
    </row>
    <row r="192" spans="1:19" ht="15.75" customHeight="1" x14ac:dyDescent="0.3">
      <c r="A192" s="5" t="s">
        <v>339</v>
      </c>
      <c r="B192" s="6">
        <v>45671</v>
      </c>
      <c r="C192" s="5" t="s">
        <v>122</v>
      </c>
      <c r="D192" s="5" t="s">
        <v>123</v>
      </c>
      <c r="E192" s="5" t="s">
        <v>54</v>
      </c>
      <c r="F192" s="5" t="s">
        <v>55</v>
      </c>
      <c r="G192" s="5" t="s">
        <v>21</v>
      </c>
      <c r="H192" s="5">
        <v>2</v>
      </c>
      <c r="I192" s="5">
        <v>149.99</v>
      </c>
      <c r="J192" s="5" t="s">
        <v>22</v>
      </c>
      <c r="K192" s="5" t="s">
        <v>42</v>
      </c>
      <c r="L192" s="5" t="s">
        <v>38</v>
      </c>
      <c r="M192" s="6">
        <v>44913</v>
      </c>
      <c r="N192" s="5">
        <v>299.98</v>
      </c>
      <c r="O192" s="28">
        <f t="shared" ca="1" si="10"/>
        <v>1184</v>
      </c>
      <c r="P192" s="28">
        <f>MONTH(Table1[[#This Row],[Date]])</f>
        <v>1</v>
      </c>
      <c r="Q192" s="28">
        <f t="shared" si="11"/>
        <v>2025</v>
      </c>
      <c r="R192" s="30" t="str">
        <f t="shared" si="12"/>
        <v>Normal</v>
      </c>
      <c r="S192" s="31">
        <f t="shared" si="13"/>
        <v>6459.79</v>
      </c>
    </row>
    <row r="193" spans="1:19" ht="15.75" customHeight="1" x14ac:dyDescent="0.3">
      <c r="A193" s="5" t="s">
        <v>340</v>
      </c>
      <c r="B193" s="6">
        <v>45671</v>
      </c>
      <c r="C193" s="5" t="s">
        <v>236</v>
      </c>
      <c r="D193" s="5" t="s">
        <v>237</v>
      </c>
      <c r="E193" s="5" t="s">
        <v>107</v>
      </c>
      <c r="F193" s="5" t="s">
        <v>108</v>
      </c>
      <c r="G193" s="5" t="s">
        <v>48</v>
      </c>
      <c r="H193" s="5">
        <v>3</v>
      </c>
      <c r="I193" s="5">
        <v>299.99</v>
      </c>
      <c r="J193" s="5" t="s">
        <v>28</v>
      </c>
      <c r="K193" s="5" t="s">
        <v>37</v>
      </c>
      <c r="L193" s="5" t="s">
        <v>24</v>
      </c>
      <c r="M193" s="6">
        <v>45204</v>
      </c>
      <c r="N193" s="5">
        <v>899.97</v>
      </c>
      <c r="O193" s="28">
        <f t="shared" ca="1" si="10"/>
        <v>893</v>
      </c>
      <c r="P193" s="28">
        <f>MONTH(Table1[[#This Row],[Date]])</f>
        <v>1</v>
      </c>
      <c r="Q193" s="28">
        <f t="shared" si="11"/>
        <v>2025</v>
      </c>
      <c r="R193" s="30" t="str">
        <f t="shared" si="12"/>
        <v>Normal</v>
      </c>
      <c r="S193" s="31">
        <f t="shared" si="13"/>
        <v>6349.83</v>
      </c>
    </row>
    <row r="194" spans="1:19" ht="15.75" customHeight="1" x14ac:dyDescent="0.3">
      <c r="A194" s="5" t="s">
        <v>341</v>
      </c>
      <c r="B194" s="6">
        <v>45673</v>
      </c>
      <c r="C194" s="5" t="s">
        <v>228</v>
      </c>
      <c r="D194" s="5" t="s">
        <v>229</v>
      </c>
      <c r="E194" s="5" t="s">
        <v>128</v>
      </c>
      <c r="F194" s="5" t="s">
        <v>129</v>
      </c>
      <c r="G194" s="5" t="s">
        <v>48</v>
      </c>
      <c r="H194" s="5">
        <v>4</v>
      </c>
      <c r="I194" s="5">
        <v>199.99</v>
      </c>
      <c r="J194" s="5" t="s">
        <v>59</v>
      </c>
      <c r="K194" s="5" t="s">
        <v>37</v>
      </c>
      <c r="L194" s="5" t="s">
        <v>38</v>
      </c>
      <c r="M194" s="6">
        <v>44544</v>
      </c>
      <c r="N194" s="5">
        <v>799.96</v>
      </c>
      <c r="O194" s="28">
        <f t="shared" ca="1" si="10"/>
        <v>1553</v>
      </c>
      <c r="P194" s="28">
        <f>MONTH(Table1[[#This Row],[Date]])</f>
        <v>1</v>
      </c>
      <c r="Q194" s="28">
        <f t="shared" si="11"/>
        <v>2025</v>
      </c>
      <c r="R194" s="30" t="str">
        <f t="shared" si="12"/>
        <v>Normal</v>
      </c>
      <c r="S194" s="31">
        <f t="shared" si="13"/>
        <v>6989.7699999999986</v>
      </c>
    </row>
    <row r="195" spans="1:19" ht="15.75" customHeight="1" x14ac:dyDescent="0.3">
      <c r="A195" s="5" t="s">
        <v>342</v>
      </c>
      <c r="B195" s="6">
        <v>45673</v>
      </c>
      <c r="C195" s="5" t="s">
        <v>213</v>
      </c>
      <c r="D195" s="5" t="s">
        <v>214</v>
      </c>
      <c r="E195" s="5" t="s">
        <v>107</v>
      </c>
      <c r="F195" s="5" t="s">
        <v>108</v>
      </c>
      <c r="G195" s="5" t="s">
        <v>48</v>
      </c>
      <c r="H195" s="5">
        <v>5</v>
      </c>
      <c r="I195" s="5">
        <v>299.99</v>
      </c>
      <c r="J195" s="5" t="s">
        <v>59</v>
      </c>
      <c r="K195" s="5" t="s">
        <v>23</v>
      </c>
      <c r="L195" s="5" t="s">
        <v>24</v>
      </c>
      <c r="M195" s="6">
        <v>44431</v>
      </c>
      <c r="N195" s="5">
        <v>1499.95</v>
      </c>
      <c r="O195" s="28">
        <f t="shared" ref="O195:O251" ca="1" si="14">DATEDIF(M195,TODAY(),"D")</f>
        <v>1666</v>
      </c>
      <c r="P195" s="28">
        <f>MONTH(Table1[[#This Row],[Date]])</f>
        <v>1</v>
      </c>
      <c r="Q195" s="28">
        <f t="shared" ref="Q195:Q251" si="15">YEAR(B195)</f>
        <v>2025</v>
      </c>
      <c r="R195" s="30" t="str">
        <f t="shared" ref="R195:R251" si="16">IF(N195&gt;=1000,"High Value","Normal")</f>
        <v>High Value</v>
      </c>
      <c r="S195" s="31">
        <f t="shared" ref="S195:S251" si="17">SUMIF(D:D,D195,N:N)</f>
        <v>3649.8599999999997</v>
      </c>
    </row>
    <row r="196" spans="1:19" ht="15.75" customHeight="1" x14ac:dyDescent="0.3">
      <c r="A196" s="5" t="s">
        <v>343</v>
      </c>
      <c r="B196" s="6">
        <v>45673</v>
      </c>
      <c r="C196" s="5" t="s">
        <v>61</v>
      </c>
      <c r="D196" s="5" t="s">
        <v>62</v>
      </c>
      <c r="E196" s="5" t="s">
        <v>46</v>
      </c>
      <c r="F196" s="5" t="s">
        <v>47</v>
      </c>
      <c r="G196" s="5" t="s">
        <v>48</v>
      </c>
      <c r="H196" s="5">
        <v>3</v>
      </c>
      <c r="I196" s="5">
        <v>149.99</v>
      </c>
      <c r="J196" s="5" t="s">
        <v>28</v>
      </c>
      <c r="K196" s="5" t="s">
        <v>65</v>
      </c>
      <c r="L196" s="5" t="s">
        <v>38</v>
      </c>
      <c r="M196" s="6">
        <v>44395</v>
      </c>
      <c r="N196" s="5">
        <v>449.97</v>
      </c>
      <c r="O196" s="28">
        <f t="shared" ca="1" si="14"/>
        <v>1702</v>
      </c>
      <c r="P196" s="28">
        <f>MONTH(Table1[[#This Row],[Date]])</f>
        <v>1</v>
      </c>
      <c r="Q196" s="28">
        <f t="shared" si="15"/>
        <v>2025</v>
      </c>
      <c r="R196" s="30" t="str">
        <f t="shared" si="16"/>
        <v>Normal</v>
      </c>
      <c r="S196" s="31">
        <f t="shared" si="17"/>
        <v>3509.8999999999996</v>
      </c>
    </row>
    <row r="197" spans="1:19" ht="15.75" customHeight="1" x14ac:dyDescent="0.3">
      <c r="A197" s="5" t="s">
        <v>344</v>
      </c>
      <c r="B197" s="6">
        <v>45676</v>
      </c>
      <c r="C197" s="5" t="s">
        <v>131</v>
      </c>
      <c r="D197" s="5" t="s">
        <v>132</v>
      </c>
      <c r="E197" s="5" t="s">
        <v>33</v>
      </c>
      <c r="F197" s="5" t="s">
        <v>34</v>
      </c>
      <c r="G197" s="5" t="s">
        <v>35</v>
      </c>
      <c r="H197" s="5">
        <v>5</v>
      </c>
      <c r="I197" s="5">
        <v>59.99</v>
      </c>
      <c r="J197" s="5" t="s">
        <v>59</v>
      </c>
      <c r="K197" s="5" t="s">
        <v>65</v>
      </c>
      <c r="L197" s="5" t="s">
        <v>24</v>
      </c>
      <c r="M197" s="6">
        <v>44642</v>
      </c>
      <c r="N197" s="5">
        <v>299.95</v>
      </c>
      <c r="O197" s="28">
        <f t="shared" ca="1" si="14"/>
        <v>1455</v>
      </c>
      <c r="P197" s="28">
        <f>MONTH(Table1[[#This Row],[Date]])</f>
        <v>1</v>
      </c>
      <c r="Q197" s="28">
        <f t="shared" si="15"/>
        <v>2025</v>
      </c>
      <c r="R197" s="30" t="str">
        <f t="shared" si="16"/>
        <v>Normal</v>
      </c>
      <c r="S197" s="31">
        <f t="shared" si="17"/>
        <v>2039.8000000000002</v>
      </c>
    </row>
    <row r="198" spans="1:19" ht="15.75" customHeight="1" x14ac:dyDescent="0.3">
      <c r="A198" s="5" t="s">
        <v>345</v>
      </c>
      <c r="B198" s="6">
        <v>45682</v>
      </c>
      <c r="C198" s="5" t="s">
        <v>70</v>
      </c>
      <c r="D198" s="5" t="s">
        <v>71</v>
      </c>
      <c r="E198" s="5" t="s">
        <v>33</v>
      </c>
      <c r="F198" s="5" t="s">
        <v>34</v>
      </c>
      <c r="G198" s="5" t="s">
        <v>35</v>
      </c>
      <c r="H198" s="5">
        <v>4</v>
      </c>
      <c r="I198" s="5">
        <v>59.99</v>
      </c>
      <c r="J198" s="5" t="s">
        <v>59</v>
      </c>
      <c r="K198" s="5" t="s">
        <v>65</v>
      </c>
      <c r="L198" s="5" t="s">
        <v>38</v>
      </c>
      <c r="M198" s="6">
        <v>44564</v>
      </c>
      <c r="N198" s="5">
        <v>239.96</v>
      </c>
      <c r="O198" s="28">
        <f t="shared" ca="1" si="14"/>
        <v>1533</v>
      </c>
      <c r="P198" s="28">
        <f>MONTH(Table1[[#This Row],[Date]])</f>
        <v>1</v>
      </c>
      <c r="Q198" s="28">
        <f t="shared" si="15"/>
        <v>2025</v>
      </c>
      <c r="R198" s="30" t="str">
        <f t="shared" si="16"/>
        <v>Normal</v>
      </c>
      <c r="S198" s="31">
        <f t="shared" si="17"/>
        <v>1979.89</v>
      </c>
    </row>
    <row r="199" spans="1:19" ht="15.75" customHeight="1" x14ac:dyDescent="0.3">
      <c r="A199" s="5" t="s">
        <v>346</v>
      </c>
      <c r="B199" s="6">
        <v>45683</v>
      </c>
      <c r="C199" s="5" t="s">
        <v>50</v>
      </c>
      <c r="D199" s="5" t="s">
        <v>51</v>
      </c>
      <c r="E199" s="5" t="s">
        <v>19</v>
      </c>
      <c r="F199" s="5" t="s">
        <v>20</v>
      </c>
      <c r="G199" s="5" t="s">
        <v>21</v>
      </c>
      <c r="H199" s="5">
        <v>4</v>
      </c>
      <c r="I199" s="5">
        <v>249.99</v>
      </c>
      <c r="J199" s="5" t="s">
        <v>59</v>
      </c>
      <c r="K199" s="5" t="s">
        <v>23</v>
      </c>
      <c r="L199" s="5" t="s">
        <v>29</v>
      </c>
      <c r="M199" s="6">
        <v>45217</v>
      </c>
      <c r="N199" s="5">
        <v>999.96</v>
      </c>
      <c r="O199" s="28">
        <f t="shared" ca="1" si="14"/>
        <v>880</v>
      </c>
      <c r="P199" s="28">
        <f>MONTH(Table1[[#This Row],[Date]])</f>
        <v>1</v>
      </c>
      <c r="Q199" s="28">
        <f t="shared" si="15"/>
        <v>2025</v>
      </c>
      <c r="R199" s="30" t="str">
        <f t="shared" si="16"/>
        <v>Normal</v>
      </c>
      <c r="S199" s="31">
        <f t="shared" si="17"/>
        <v>8269.7900000000009</v>
      </c>
    </row>
    <row r="200" spans="1:19" ht="15.75" customHeight="1" x14ac:dyDescent="0.3">
      <c r="A200" s="5" t="s">
        <v>347</v>
      </c>
      <c r="B200" s="6">
        <v>45686</v>
      </c>
      <c r="C200" s="5" t="s">
        <v>254</v>
      </c>
      <c r="D200" s="5" t="s">
        <v>255</v>
      </c>
      <c r="E200" s="5" t="s">
        <v>63</v>
      </c>
      <c r="F200" s="5" t="s">
        <v>64</v>
      </c>
      <c r="G200" s="5" t="s">
        <v>21</v>
      </c>
      <c r="H200" s="5">
        <v>4</v>
      </c>
      <c r="I200" s="5">
        <v>899.99</v>
      </c>
      <c r="J200" s="5" t="s">
        <v>36</v>
      </c>
      <c r="K200" s="5" t="s">
        <v>23</v>
      </c>
      <c r="L200" s="5" t="s">
        <v>24</v>
      </c>
      <c r="M200" s="6">
        <v>44734</v>
      </c>
      <c r="N200" s="5">
        <v>3599.96</v>
      </c>
      <c r="O200" s="28">
        <f t="shared" ca="1" si="14"/>
        <v>1363</v>
      </c>
      <c r="P200" s="28">
        <f>MONTH(Table1[[#This Row],[Date]])</f>
        <v>1</v>
      </c>
      <c r="Q200" s="28">
        <f t="shared" si="15"/>
        <v>2025</v>
      </c>
      <c r="R200" s="30" t="str">
        <f t="shared" si="16"/>
        <v>High Value</v>
      </c>
      <c r="S200" s="31">
        <f t="shared" si="17"/>
        <v>4749.91</v>
      </c>
    </row>
    <row r="201" spans="1:19" ht="15.75" customHeight="1" x14ac:dyDescent="0.3">
      <c r="A201" s="5" t="s">
        <v>348</v>
      </c>
      <c r="B201" s="6">
        <v>45686</v>
      </c>
      <c r="C201" s="5" t="s">
        <v>88</v>
      </c>
      <c r="D201" s="5" t="s">
        <v>89</v>
      </c>
      <c r="E201" s="5" t="s">
        <v>107</v>
      </c>
      <c r="F201" s="5" t="s">
        <v>108</v>
      </c>
      <c r="G201" s="5" t="s">
        <v>48</v>
      </c>
      <c r="H201" s="5">
        <v>3</v>
      </c>
      <c r="I201" s="5">
        <v>299.99</v>
      </c>
      <c r="J201" s="5" t="s">
        <v>59</v>
      </c>
      <c r="K201" s="5" t="s">
        <v>52</v>
      </c>
      <c r="L201" s="5" t="s">
        <v>38</v>
      </c>
      <c r="M201" s="6">
        <v>44952</v>
      </c>
      <c r="N201" s="5">
        <v>899.97</v>
      </c>
      <c r="O201" s="28">
        <f t="shared" ca="1" si="14"/>
        <v>1145</v>
      </c>
      <c r="P201" s="28">
        <f>MONTH(Table1[[#This Row],[Date]])</f>
        <v>1</v>
      </c>
      <c r="Q201" s="28">
        <f t="shared" si="15"/>
        <v>2025</v>
      </c>
      <c r="R201" s="30" t="str">
        <f t="shared" si="16"/>
        <v>Normal</v>
      </c>
      <c r="S201" s="31">
        <f t="shared" si="17"/>
        <v>15659.65</v>
      </c>
    </row>
    <row r="202" spans="1:19" ht="15.75" customHeight="1" x14ac:dyDescent="0.3">
      <c r="A202" s="5" t="s">
        <v>349</v>
      </c>
      <c r="B202" s="6">
        <v>45686</v>
      </c>
      <c r="C202" s="5" t="s">
        <v>295</v>
      </c>
      <c r="D202" s="5" t="s">
        <v>296</v>
      </c>
      <c r="E202" s="5" t="s">
        <v>82</v>
      </c>
      <c r="F202" s="5" t="s">
        <v>83</v>
      </c>
      <c r="G202" s="5" t="s">
        <v>21</v>
      </c>
      <c r="H202" s="5">
        <v>2</v>
      </c>
      <c r="I202" s="5">
        <v>699.99</v>
      </c>
      <c r="J202" s="5" t="s">
        <v>59</v>
      </c>
      <c r="K202" s="5" t="s">
        <v>23</v>
      </c>
      <c r="L202" s="5" t="s">
        <v>29</v>
      </c>
      <c r="M202" s="6">
        <v>44681</v>
      </c>
      <c r="N202" s="5">
        <v>1399.98</v>
      </c>
      <c r="O202" s="28">
        <f t="shared" ca="1" si="14"/>
        <v>1416</v>
      </c>
      <c r="P202" s="28">
        <f>MONTH(Table1[[#This Row],[Date]])</f>
        <v>1</v>
      </c>
      <c r="Q202" s="28">
        <f t="shared" si="15"/>
        <v>2025</v>
      </c>
      <c r="R202" s="30" t="str">
        <f t="shared" si="16"/>
        <v>High Value</v>
      </c>
      <c r="S202" s="31">
        <f t="shared" si="17"/>
        <v>4829.8899999999994</v>
      </c>
    </row>
    <row r="203" spans="1:19" ht="15.75" customHeight="1" x14ac:dyDescent="0.3">
      <c r="A203" s="5" t="s">
        <v>350</v>
      </c>
      <c r="B203" s="6">
        <v>45688</v>
      </c>
      <c r="C203" s="5" t="s">
        <v>67</v>
      </c>
      <c r="D203" s="5" t="s">
        <v>68</v>
      </c>
      <c r="E203" s="5" t="s">
        <v>82</v>
      </c>
      <c r="F203" s="5" t="s">
        <v>83</v>
      </c>
      <c r="G203" s="5" t="s">
        <v>21</v>
      </c>
      <c r="H203" s="5">
        <v>4</v>
      </c>
      <c r="I203" s="5">
        <v>699.99</v>
      </c>
      <c r="J203" s="5" t="s">
        <v>59</v>
      </c>
      <c r="K203" s="5" t="s">
        <v>52</v>
      </c>
      <c r="L203" s="5" t="s">
        <v>29</v>
      </c>
      <c r="M203" s="6">
        <v>44692</v>
      </c>
      <c r="N203" s="5">
        <v>2799.96</v>
      </c>
      <c r="O203" s="28">
        <f t="shared" ca="1" si="14"/>
        <v>1405</v>
      </c>
      <c r="P203" s="28">
        <f>MONTH(Table1[[#This Row],[Date]])</f>
        <v>1</v>
      </c>
      <c r="Q203" s="28">
        <f t="shared" si="15"/>
        <v>2025</v>
      </c>
      <c r="R203" s="30" t="str">
        <f t="shared" si="16"/>
        <v>High Value</v>
      </c>
      <c r="S203" s="31">
        <f t="shared" si="17"/>
        <v>8009.7699999999995</v>
      </c>
    </row>
    <row r="204" spans="1:19" ht="15.75" customHeight="1" x14ac:dyDescent="0.3">
      <c r="A204" s="5" t="s">
        <v>351</v>
      </c>
      <c r="B204" s="6">
        <v>45688</v>
      </c>
      <c r="C204" s="5" t="s">
        <v>125</v>
      </c>
      <c r="D204" s="5" t="s">
        <v>126</v>
      </c>
      <c r="E204" s="5" t="s">
        <v>119</v>
      </c>
      <c r="F204" s="5" t="s">
        <v>120</v>
      </c>
      <c r="G204" s="5" t="s">
        <v>21</v>
      </c>
      <c r="H204" s="5">
        <v>2</v>
      </c>
      <c r="I204" s="5">
        <v>89.99</v>
      </c>
      <c r="J204" s="5" t="s">
        <v>59</v>
      </c>
      <c r="K204" s="5" t="s">
        <v>37</v>
      </c>
      <c r="L204" s="5" t="s">
        <v>24</v>
      </c>
      <c r="M204" s="6">
        <v>44777</v>
      </c>
      <c r="N204" s="5">
        <v>179.98</v>
      </c>
      <c r="O204" s="28">
        <f t="shared" ca="1" si="14"/>
        <v>1320</v>
      </c>
      <c r="P204" s="28">
        <f>MONTH(Table1[[#This Row],[Date]])</f>
        <v>1</v>
      </c>
      <c r="Q204" s="28">
        <f t="shared" si="15"/>
        <v>2025</v>
      </c>
      <c r="R204" s="30" t="str">
        <f t="shared" si="16"/>
        <v>Normal</v>
      </c>
      <c r="S204" s="31">
        <f t="shared" si="17"/>
        <v>11919.769999999999</v>
      </c>
    </row>
    <row r="205" spans="1:19" ht="15.75" customHeight="1" x14ac:dyDescent="0.3">
      <c r="A205" s="5" t="s">
        <v>352</v>
      </c>
      <c r="B205" s="6">
        <v>45688</v>
      </c>
      <c r="C205" s="5" t="s">
        <v>44</v>
      </c>
      <c r="D205" s="5" t="s">
        <v>45</v>
      </c>
      <c r="E205" s="5" t="s">
        <v>119</v>
      </c>
      <c r="F205" s="5" t="s">
        <v>120</v>
      </c>
      <c r="G205" s="5" t="s">
        <v>21</v>
      </c>
      <c r="H205" s="5">
        <v>3</v>
      </c>
      <c r="I205" s="5">
        <v>89.99</v>
      </c>
      <c r="J205" s="5" t="s">
        <v>59</v>
      </c>
      <c r="K205" s="5" t="s">
        <v>37</v>
      </c>
      <c r="L205" s="5" t="s">
        <v>29</v>
      </c>
      <c r="M205" s="6">
        <v>45307</v>
      </c>
      <c r="N205" s="5">
        <v>269.97000000000003</v>
      </c>
      <c r="O205" s="28">
        <f t="shared" ca="1" si="14"/>
        <v>790</v>
      </c>
      <c r="P205" s="28">
        <f>MONTH(Table1[[#This Row],[Date]])</f>
        <v>1</v>
      </c>
      <c r="Q205" s="28">
        <f t="shared" si="15"/>
        <v>2025</v>
      </c>
      <c r="R205" s="30" t="str">
        <f t="shared" si="16"/>
        <v>Normal</v>
      </c>
      <c r="S205" s="31">
        <f t="shared" si="17"/>
        <v>6169.7400000000007</v>
      </c>
    </row>
    <row r="206" spans="1:19" ht="15.75" customHeight="1" x14ac:dyDescent="0.3">
      <c r="A206" s="5" t="s">
        <v>353</v>
      </c>
      <c r="B206" s="6">
        <v>45692</v>
      </c>
      <c r="C206" s="5" t="s">
        <v>327</v>
      </c>
      <c r="D206" s="5" t="s">
        <v>328</v>
      </c>
      <c r="E206" s="5" t="s">
        <v>33</v>
      </c>
      <c r="F206" s="5" t="s">
        <v>34</v>
      </c>
      <c r="G206" s="5" t="s">
        <v>35</v>
      </c>
      <c r="H206" s="5">
        <v>1</v>
      </c>
      <c r="I206" s="5">
        <v>59.99</v>
      </c>
      <c r="J206" s="5" t="s">
        <v>59</v>
      </c>
      <c r="K206" s="5" t="s">
        <v>23</v>
      </c>
      <c r="L206" s="5" t="s">
        <v>38</v>
      </c>
      <c r="M206" s="6">
        <v>45045</v>
      </c>
      <c r="N206" s="5">
        <v>59.99</v>
      </c>
      <c r="O206" s="28">
        <f t="shared" ca="1" si="14"/>
        <v>1052</v>
      </c>
      <c r="P206" s="28">
        <f>MONTH(Table1[[#This Row],[Date]])</f>
        <v>2</v>
      </c>
      <c r="Q206" s="28">
        <f t="shared" si="15"/>
        <v>2025</v>
      </c>
      <c r="R206" s="30" t="str">
        <f t="shared" si="16"/>
        <v>Normal</v>
      </c>
      <c r="S206" s="31">
        <f t="shared" si="17"/>
        <v>1559.94</v>
      </c>
    </row>
    <row r="207" spans="1:19" ht="15.75" customHeight="1" x14ac:dyDescent="0.3">
      <c r="A207" s="5" t="s">
        <v>354</v>
      </c>
      <c r="B207" s="6">
        <v>45695</v>
      </c>
      <c r="C207" s="5" t="s">
        <v>248</v>
      </c>
      <c r="D207" s="5" t="s">
        <v>249</v>
      </c>
      <c r="E207" s="5" t="s">
        <v>46</v>
      </c>
      <c r="F207" s="5" t="s">
        <v>47</v>
      </c>
      <c r="G207" s="5" t="s">
        <v>48</v>
      </c>
      <c r="H207" s="5">
        <v>3</v>
      </c>
      <c r="I207" s="5">
        <v>149.99</v>
      </c>
      <c r="J207" s="5" t="s">
        <v>59</v>
      </c>
      <c r="K207" s="5" t="s">
        <v>42</v>
      </c>
      <c r="L207" s="5" t="s">
        <v>29</v>
      </c>
      <c r="M207" s="6">
        <v>44564</v>
      </c>
      <c r="N207" s="5">
        <v>449.97</v>
      </c>
      <c r="O207" s="28">
        <f t="shared" ca="1" si="14"/>
        <v>1533</v>
      </c>
      <c r="P207" s="28">
        <f>MONTH(Table1[[#This Row],[Date]])</f>
        <v>2</v>
      </c>
      <c r="Q207" s="28">
        <f t="shared" si="15"/>
        <v>2025</v>
      </c>
      <c r="R207" s="30" t="str">
        <f t="shared" si="16"/>
        <v>Normal</v>
      </c>
      <c r="S207" s="31">
        <f t="shared" si="17"/>
        <v>1749.92</v>
      </c>
    </row>
    <row r="208" spans="1:19" ht="15.75" customHeight="1" x14ac:dyDescent="0.3">
      <c r="A208" s="5" t="s">
        <v>355</v>
      </c>
      <c r="B208" s="6">
        <v>45695</v>
      </c>
      <c r="C208" s="5" t="s">
        <v>95</v>
      </c>
      <c r="D208" s="5" t="s">
        <v>96</v>
      </c>
      <c r="E208" s="5" t="s">
        <v>107</v>
      </c>
      <c r="F208" s="5" t="s">
        <v>108</v>
      </c>
      <c r="G208" s="5" t="s">
        <v>48</v>
      </c>
      <c r="H208" s="5">
        <v>5</v>
      </c>
      <c r="I208" s="5">
        <v>299.99</v>
      </c>
      <c r="J208" s="5" t="s">
        <v>28</v>
      </c>
      <c r="K208" s="5" t="s">
        <v>37</v>
      </c>
      <c r="L208" s="5" t="s">
        <v>24</v>
      </c>
      <c r="M208" s="6">
        <v>44959</v>
      </c>
      <c r="N208" s="5">
        <v>1499.95</v>
      </c>
      <c r="O208" s="28">
        <f t="shared" ca="1" si="14"/>
        <v>1138</v>
      </c>
      <c r="P208" s="28">
        <f>MONTH(Table1[[#This Row],[Date]])</f>
        <v>2</v>
      </c>
      <c r="Q208" s="28">
        <f t="shared" si="15"/>
        <v>2025</v>
      </c>
      <c r="R208" s="30" t="str">
        <f t="shared" si="16"/>
        <v>High Value</v>
      </c>
      <c r="S208" s="31">
        <f t="shared" si="17"/>
        <v>4789.7900000000009</v>
      </c>
    </row>
    <row r="209" spans="1:19" ht="15.75" customHeight="1" x14ac:dyDescent="0.3">
      <c r="A209" s="5" t="s">
        <v>356</v>
      </c>
      <c r="B209" s="6">
        <v>45696</v>
      </c>
      <c r="C209" s="5" t="s">
        <v>152</v>
      </c>
      <c r="D209" s="5" t="s">
        <v>153</v>
      </c>
      <c r="E209" s="5" t="s">
        <v>33</v>
      </c>
      <c r="F209" s="5" t="s">
        <v>34</v>
      </c>
      <c r="G209" s="5" t="s">
        <v>35</v>
      </c>
      <c r="H209" s="5">
        <v>5</v>
      </c>
      <c r="I209" s="5">
        <v>59.99</v>
      </c>
      <c r="J209" s="5" t="s">
        <v>59</v>
      </c>
      <c r="K209" s="5" t="s">
        <v>23</v>
      </c>
      <c r="L209" s="5" t="s">
        <v>38</v>
      </c>
      <c r="M209" s="6">
        <v>45177</v>
      </c>
      <c r="N209" s="5">
        <v>299.95</v>
      </c>
      <c r="O209" s="28">
        <f t="shared" ca="1" si="14"/>
        <v>920</v>
      </c>
      <c r="P209" s="28">
        <f>MONTH(Table1[[#This Row],[Date]])</f>
        <v>2</v>
      </c>
      <c r="Q209" s="28">
        <f t="shared" si="15"/>
        <v>2025</v>
      </c>
      <c r="R209" s="30" t="str">
        <f t="shared" si="16"/>
        <v>Normal</v>
      </c>
      <c r="S209" s="31">
        <f t="shared" si="17"/>
        <v>5619.869999999999</v>
      </c>
    </row>
    <row r="210" spans="1:19" ht="15.75" customHeight="1" x14ac:dyDescent="0.3">
      <c r="A210" s="5" t="s">
        <v>357</v>
      </c>
      <c r="B210" s="6">
        <v>45701</v>
      </c>
      <c r="C210" s="5" t="s">
        <v>110</v>
      </c>
      <c r="D210" s="5" t="s">
        <v>111</v>
      </c>
      <c r="E210" s="5" t="s">
        <v>116</v>
      </c>
      <c r="F210" s="5" t="s">
        <v>117</v>
      </c>
      <c r="G210" s="5" t="s">
        <v>35</v>
      </c>
      <c r="H210" s="5">
        <v>3</v>
      </c>
      <c r="I210" s="5">
        <v>79.989999999999995</v>
      </c>
      <c r="J210" s="5" t="s">
        <v>22</v>
      </c>
      <c r="K210" s="5" t="s">
        <v>65</v>
      </c>
      <c r="L210" s="5" t="s">
        <v>29</v>
      </c>
      <c r="M210" s="6">
        <v>44436</v>
      </c>
      <c r="N210" s="5">
        <v>239.97</v>
      </c>
      <c r="O210" s="28">
        <f t="shared" ca="1" si="14"/>
        <v>1661</v>
      </c>
      <c r="P210" s="28">
        <f>MONTH(Table1[[#This Row],[Date]])</f>
        <v>2</v>
      </c>
      <c r="Q210" s="28">
        <f t="shared" si="15"/>
        <v>2025</v>
      </c>
      <c r="R210" s="30" t="str">
        <f t="shared" si="16"/>
        <v>Normal</v>
      </c>
      <c r="S210" s="31">
        <f t="shared" si="17"/>
        <v>4189.7700000000004</v>
      </c>
    </row>
    <row r="211" spans="1:19" ht="15.75" customHeight="1" x14ac:dyDescent="0.3">
      <c r="A211" s="5" t="s">
        <v>358</v>
      </c>
      <c r="B211" s="6">
        <v>45704</v>
      </c>
      <c r="C211" s="5" t="s">
        <v>31</v>
      </c>
      <c r="D211" s="5" t="s">
        <v>32</v>
      </c>
      <c r="E211" s="5" t="s">
        <v>128</v>
      </c>
      <c r="F211" s="5" t="s">
        <v>129</v>
      </c>
      <c r="G211" s="5" t="s">
        <v>48</v>
      </c>
      <c r="H211" s="5">
        <v>3</v>
      </c>
      <c r="I211" s="5">
        <v>199.99</v>
      </c>
      <c r="J211" s="5" t="s">
        <v>22</v>
      </c>
      <c r="K211" s="5" t="s">
        <v>23</v>
      </c>
      <c r="L211" s="5" t="s">
        <v>24</v>
      </c>
      <c r="M211" s="6">
        <v>44735</v>
      </c>
      <c r="N211" s="5">
        <v>599.97</v>
      </c>
      <c r="O211" s="28">
        <f t="shared" ca="1" si="14"/>
        <v>1362</v>
      </c>
      <c r="P211" s="28">
        <f>MONTH(Table1[[#This Row],[Date]])</f>
        <v>2</v>
      </c>
      <c r="Q211" s="28">
        <f t="shared" si="15"/>
        <v>2025</v>
      </c>
      <c r="R211" s="30" t="str">
        <f t="shared" si="16"/>
        <v>Normal</v>
      </c>
      <c r="S211" s="31">
        <f t="shared" si="17"/>
        <v>3259.87</v>
      </c>
    </row>
    <row r="212" spans="1:19" ht="15.75" customHeight="1" x14ac:dyDescent="0.3">
      <c r="A212" s="5" t="s">
        <v>359</v>
      </c>
      <c r="B212" s="6">
        <v>45704</v>
      </c>
      <c r="C212" s="5" t="s">
        <v>17</v>
      </c>
      <c r="D212" s="5" t="s">
        <v>18</v>
      </c>
      <c r="E212" s="5" t="s">
        <v>119</v>
      </c>
      <c r="F212" s="5" t="s">
        <v>120</v>
      </c>
      <c r="G212" s="5" t="s">
        <v>21</v>
      </c>
      <c r="H212" s="5">
        <v>2</v>
      </c>
      <c r="I212" s="5">
        <v>89.99</v>
      </c>
      <c r="J212" s="5" t="s">
        <v>36</v>
      </c>
      <c r="K212" s="5" t="s">
        <v>23</v>
      </c>
      <c r="L212" s="5" t="s">
        <v>24</v>
      </c>
      <c r="M212" s="6">
        <v>45257</v>
      </c>
      <c r="N212" s="5">
        <v>179.98</v>
      </c>
      <c r="O212" s="28">
        <f t="shared" ca="1" si="14"/>
        <v>840</v>
      </c>
      <c r="P212" s="28">
        <f>MONTH(Table1[[#This Row],[Date]])</f>
        <v>2</v>
      </c>
      <c r="Q212" s="28">
        <f t="shared" si="15"/>
        <v>2025</v>
      </c>
      <c r="R212" s="30" t="str">
        <f t="shared" si="16"/>
        <v>Normal</v>
      </c>
      <c r="S212" s="31">
        <f t="shared" si="17"/>
        <v>8309.739999999998</v>
      </c>
    </row>
    <row r="213" spans="1:19" ht="15.75" customHeight="1" x14ac:dyDescent="0.3">
      <c r="A213" s="5" t="s">
        <v>360</v>
      </c>
      <c r="B213" s="6">
        <v>45705</v>
      </c>
      <c r="C213" s="5" t="s">
        <v>261</v>
      </c>
      <c r="D213" s="5" t="s">
        <v>262</v>
      </c>
      <c r="E213" s="5" t="s">
        <v>46</v>
      </c>
      <c r="F213" s="5" t="s">
        <v>47</v>
      </c>
      <c r="G213" s="5" t="s">
        <v>48</v>
      </c>
      <c r="H213" s="5">
        <v>2</v>
      </c>
      <c r="I213" s="5">
        <v>149.99</v>
      </c>
      <c r="J213" s="5" t="s">
        <v>22</v>
      </c>
      <c r="K213" s="5" t="s">
        <v>37</v>
      </c>
      <c r="L213" s="5" t="s">
        <v>29</v>
      </c>
      <c r="M213" s="6">
        <v>44728</v>
      </c>
      <c r="N213" s="5">
        <v>299.98</v>
      </c>
      <c r="O213" s="28">
        <f t="shared" ca="1" si="14"/>
        <v>1369</v>
      </c>
      <c r="P213" s="28">
        <f>MONTH(Table1[[#This Row],[Date]])</f>
        <v>2</v>
      </c>
      <c r="Q213" s="28">
        <f t="shared" si="15"/>
        <v>2025</v>
      </c>
      <c r="R213" s="30" t="str">
        <f t="shared" si="16"/>
        <v>Normal</v>
      </c>
      <c r="S213" s="31">
        <f t="shared" si="17"/>
        <v>739.93000000000006</v>
      </c>
    </row>
    <row r="214" spans="1:19" ht="15.75" customHeight="1" x14ac:dyDescent="0.3">
      <c r="A214" s="5" t="s">
        <v>361</v>
      </c>
      <c r="B214" s="6">
        <v>45707</v>
      </c>
      <c r="C214" s="5" t="s">
        <v>125</v>
      </c>
      <c r="D214" s="5" t="s">
        <v>126</v>
      </c>
      <c r="E214" s="5" t="s">
        <v>82</v>
      </c>
      <c r="F214" s="5" t="s">
        <v>83</v>
      </c>
      <c r="G214" s="5" t="s">
        <v>21</v>
      </c>
      <c r="H214" s="5">
        <v>5</v>
      </c>
      <c r="I214" s="5">
        <v>699.99</v>
      </c>
      <c r="J214" s="5" t="s">
        <v>36</v>
      </c>
      <c r="K214" s="5" t="s">
        <v>37</v>
      </c>
      <c r="L214" s="5" t="s">
        <v>29</v>
      </c>
      <c r="M214" s="6">
        <v>45352</v>
      </c>
      <c r="N214" s="5">
        <v>3499.95</v>
      </c>
      <c r="O214" s="28">
        <f t="shared" ca="1" si="14"/>
        <v>745</v>
      </c>
      <c r="P214" s="28">
        <f>MONTH(Table1[[#This Row],[Date]])</f>
        <v>2</v>
      </c>
      <c r="Q214" s="28">
        <f t="shared" si="15"/>
        <v>2025</v>
      </c>
      <c r="R214" s="30" t="str">
        <f t="shared" si="16"/>
        <v>High Value</v>
      </c>
      <c r="S214" s="31">
        <f t="shared" si="17"/>
        <v>11919.769999999999</v>
      </c>
    </row>
    <row r="215" spans="1:19" ht="15.75" customHeight="1" x14ac:dyDescent="0.3">
      <c r="A215" s="5" t="s">
        <v>362</v>
      </c>
      <c r="B215" s="6">
        <v>45707</v>
      </c>
      <c r="C215" s="5" t="s">
        <v>44</v>
      </c>
      <c r="D215" s="5" t="s">
        <v>45</v>
      </c>
      <c r="E215" s="5" t="s">
        <v>46</v>
      </c>
      <c r="F215" s="5" t="s">
        <v>47</v>
      </c>
      <c r="G215" s="5" t="s">
        <v>48</v>
      </c>
      <c r="H215" s="5">
        <v>3</v>
      </c>
      <c r="I215" s="5">
        <v>149.99</v>
      </c>
      <c r="J215" s="5" t="s">
        <v>36</v>
      </c>
      <c r="K215" s="5" t="s">
        <v>23</v>
      </c>
      <c r="L215" s="5" t="s">
        <v>38</v>
      </c>
      <c r="M215" s="6">
        <v>44633</v>
      </c>
      <c r="N215" s="5">
        <v>449.97</v>
      </c>
      <c r="O215" s="28">
        <f t="shared" ca="1" si="14"/>
        <v>1464</v>
      </c>
      <c r="P215" s="28">
        <f>MONTH(Table1[[#This Row],[Date]])</f>
        <v>2</v>
      </c>
      <c r="Q215" s="28">
        <f t="shared" si="15"/>
        <v>2025</v>
      </c>
      <c r="R215" s="30" t="str">
        <f t="shared" si="16"/>
        <v>Normal</v>
      </c>
      <c r="S215" s="31">
        <f t="shared" si="17"/>
        <v>6169.7400000000007</v>
      </c>
    </row>
    <row r="216" spans="1:19" ht="15.75" customHeight="1" x14ac:dyDescent="0.3">
      <c r="A216" s="5" t="s">
        <v>363</v>
      </c>
      <c r="B216" s="6">
        <v>45708</v>
      </c>
      <c r="C216" s="5" t="s">
        <v>98</v>
      </c>
      <c r="D216" s="5" t="s">
        <v>99</v>
      </c>
      <c r="E216" s="5" t="s">
        <v>63</v>
      </c>
      <c r="F216" s="5" t="s">
        <v>64</v>
      </c>
      <c r="G216" s="5" t="s">
        <v>21</v>
      </c>
      <c r="H216" s="5">
        <v>3</v>
      </c>
      <c r="I216" s="5">
        <v>899.99</v>
      </c>
      <c r="J216" s="5" t="s">
        <v>22</v>
      </c>
      <c r="K216" s="5" t="s">
        <v>65</v>
      </c>
      <c r="L216" s="5" t="s">
        <v>38</v>
      </c>
      <c r="M216" s="6">
        <v>44613</v>
      </c>
      <c r="N216" s="5">
        <v>2699.97</v>
      </c>
      <c r="O216" s="28">
        <f t="shared" ca="1" si="14"/>
        <v>1484</v>
      </c>
      <c r="P216" s="28">
        <f>MONTH(Table1[[#This Row],[Date]])</f>
        <v>2</v>
      </c>
      <c r="Q216" s="28">
        <f t="shared" si="15"/>
        <v>2025</v>
      </c>
      <c r="R216" s="30" t="str">
        <f t="shared" si="16"/>
        <v>High Value</v>
      </c>
      <c r="S216" s="31">
        <f t="shared" si="17"/>
        <v>10649.8</v>
      </c>
    </row>
    <row r="217" spans="1:19" ht="15.75" customHeight="1" x14ac:dyDescent="0.3">
      <c r="A217" s="5" t="s">
        <v>364</v>
      </c>
      <c r="B217" s="6">
        <v>45708</v>
      </c>
      <c r="C217" s="5" t="s">
        <v>194</v>
      </c>
      <c r="D217" s="5" t="s">
        <v>195</v>
      </c>
      <c r="E217" s="5" t="s">
        <v>128</v>
      </c>
      <c r="F217" s="5" t="s">
        <v>129</v>
      </c>
      <c r="G217" s="5" t="s">
        <v>48</v>
      </c>
      <c r="H217" s="5">
        <v>3</v>
      </c>
      <c r="I217" s="5">
        <v>199.99</v>
      </c>
      <c r="J217" s="5" t="s">
        <v>22</v>
      </c>
      <c r="K217" s="5" t="s">
        <v>52</v>
      </c>
      <c r="L217" s="5" t="s">
        <v>29</v>
      </c>
      <c r="M217" s="6">
        <v>44823</v>
      </c>
      <c r="N217" s="5">
        <v>599.97</v>
      </c>
      <c r="O217" s="28">
        <f t="shared" ca="1" si="14"/>
        <v>1274</v>
      </c>
      <c r="P217" s="28">
        <f>MONTH(Table1[[#This Row],[Date]])</f>
        <v>2</v>
      </c>
      <c r="Q217" s="28">
        <f t="shared" si="15"/>
        <v>2025</v>
      </c>
      <c r="R217" s="30" t="str">
        <f t="shared" si="16"/>
        <v>Normal</v>
      </c>
      <c r="S217" s="31">
        <f t="shared" si="17"/>
        <v>1479.91</v>
      </c>
    </row>
    <row r="218" spans="1:19" ht="15.75" customHeight="1" x14ac:dyDescent="0.3">
      <c r="A218" s="5" t="s">
        <v>365</v>
      </c>
      <c r="B218" s="6">
        <v>45710</v>
      </c>
      <c r="C218" s="5" t="s">
        <v>57</v>
      </c>
      <c r="D218" s="5" t="s">
        <v>58</v>
      </c>
      <c r="E218" s="5" t="s">
        <v>107</v>
      </c>
      <c r="F218" s="5" t="s">
        <v>108</v>
      </c>
      <c r="G218" s="5" t="s">
        <v>48</v>
      </c>
      <c r="H218" s="5">
        <v>5</v>
      </c>
      <c r="I218" s="5">
        <v>299.99</v>
      </c>
      <c r="J218" s="5" t="s">
        <v>22</v>
      </c>
      <c r="K218" s="5" t="s">
        <v>52</v>
      </c>
      <c r="L218" s="5" t="s">
        <v>38</v>
      </c>
      <c r="M218" s="6">
        <v>45142</v>
      </c>
      <c r="N218" s="5">
        <v>1499.95</v>
      </c>
      <c r="O218" s="28">
        <f t="shared" ca="1" si="14"/>
        <v>955</v>
      </c>
      <c r="P218" s="28">
        <f>MONTH(Table1[[#This Row],[Date]])</f>
        <v>2</v>
      </c>
      <c r="Q218" s="28">
        <f t="shared" si="15"/>
        <v>2025</v>
      </c>
      <c r="R218" s="30" t="str">
        <f t="shared" si="16"/>
        <v>High Value</v>
      </c>
      <c r="S218" s="31">
        <f t="shared" si="17"/>
        <v>5089.7300000000005</v>
      </c>
    </row>
    <row r="219" spans="1:19" ht="15.75" customHeight="1" x14ac:dyDescent="0.3">
      <c r="A219" s="5" t="s">
        <v>366</v>
      </c>
      <c r="B219" s="6">
        <v>45710</v>
      </c>
      <c r="C219" s="5" t="s">
        <v>152</v>
      </c>
      <c r="D219" s="5" t="s">
        <v>153</v>
      </c>
      <c r="E219" s="5" t="s">
        <v>82</v>
      </c>
      <c r="F219" s="5" t="s">
        <v>83</v>
      </c>
      <c r="G219" s="5" t="s">
        <v>21</v>
      </c>
      <c r="H219" s="5">
        <v>1</v>
      </c>
      <c r="I219" s="5">
        <v>699.99</v>
      </c>
      <c r="J219" s="5" t="s">
        <v>36</v>
      </c>
      <c r="K219" s="5" t="s">
        <v>52</v>
      </c>
      <c r="L219" s="5" t="s">
        <v>24</v>
      </c>
      <c r="M219" s="6">
        <v>44934</v>
      </c>
      <c r="N219" s="5">
        <v>699.99</v>
      </c>
      <c r="O219" s="28">
        <f t="shared" ca="1" si="14"/>
        <v>1163</v>
      </c>
      <c r="P219" s="28">
        <f>MONTH(Table1[[#This Row],[Date]])</f>
        <v>2</v>
      </c>
      <c r="Q219" s="28">
        <f t="shared" si="15"/>
        <v>2025</v>
      </c>
      <c r="R219" s="30" t="str">
        <f t="shared" si="16"/>
        <v>Normal</v>
      </c>
      <c r="S219" s="31">
        <f t="shared" si="17"/>
        <v>5619.869999999999</v>
      </c>
    </row>
    <row r="220" spans="1:19" ht="15.75" customHeight="1" x14ac:dyDescent="0.3">
      <c r="A220" s="5" t="s">
        <v>367</v>
      </c>
      <c r="B220" s="6">
        <v>45711</v>
      </c>
      <c r="C220" s="5" t="s">
        <v>248</v>
      </c>
      <c r="D220" s="5" t="s">
        <v>249</v>
      </c>
      <c r="E220" s="5" t="s">
        <v>82</v>
      </c>
      <c r="F220" s="5" t="s">
        <v>83</v>
      </c>
      <c r="G220" s="5" t="s">
        <v>21</v>
      </c>
      <c r="H220" s="5">
        <v>1</v>
      </c>
      <c r="I220" s="5">
        <v>699.99</v>
      </c>
      <c r="J220" s="5" t="s">
        <v>22</v>
      </c>
      <c r="K220" s="5" t="s">
        <v>42</v>
      </c>
      <c r="L220" s="5" t="s">
        <v>29</v>
      </c>
      <c r="M220" s="6">
        <v>44583</v>
      </c>
      <c r="N220" s="5">
        <v>699.99</v>
      </c>
      <c r="O220" s="28">
        <f t="shared" ca="1" si="14"/>
        <v>1514</v>
      </c>
      <c r="P220" s="28">
        <f>MONTH(Table1[[#This Row],[Date]])</f>
        <v>2</v>
      </c>
      <c r="Q220" s="28">
        <f t="shared" si="15"/>
        <v>2025</v>
      </c>
      <c r="R220" s="30" t="str">
        <f t="shared" si="16"/>
        <v>Normal</v>
      </c>
      <c r="S220" s="31">
        <f t="shared" si="17"/>
        <v>1749.92</v>
      </c>
    </row>
    <row r="221" spans="1:19" ht="15.75" customHeight="1" x14ac:dyDescent="0.3">
      <c r="A221" s="5" t="s">
        <v>368</v>
      </c>
      <c r="B221" s="6">
        <v>45711</v>
      </c>
      <c r="C221" s="5" t="s">
        <v>327</v>
      </c>
      <c r="D221" s="5" t="s">
        <v>328</v>
      </c>
      <c r="E221" s="5" t="s">
        <v>46</v>
      </c>
      <c r="F221" s="5" t="s">
        <v>47</v>
      </c>
      <c r="G221" s="5" t="s">
        <v>48</v>
      </c>
      <c r="H221" s="5">
        <v>4</v>
      </c>
      <c r="I221" s="5">
        <v>149.99</v>
      </c>
      <c r="J221" s="5" t="s">
        <v>36</v>
      </c>
      <c r="K221" s="5" t="s">
        <v>42</v>
      </c>
      <c r="L221" s="5" t="s">
        <v>29</v>
      </c>
      <c r="M221" s="6">
        <v>44412</v>
      </c>
      <c r="N221" s="5">
        <v>599.96</v>
      </c>
      <c r="O221" s="28">
        <f t="shared" ca="1" si="14"/>
        <v>1685</v>
      </c>
      <c r="P221" s="28">
        <f>MONTH(Table1[[#This Row],[Date]])</f>
        <v>2</v>
      </c>
      <c r="Q221" s="28">
        <f t="shared" si="15"/>
        <v>2025</v>
      </c>
      <c r="R221" s="30" t="str">
        <f t="shared" si="16"/>
        <v>Normal</v>
      </c>
      <c r="S221" s="31">
        <f t="shared" si="17"/>
        <v>1559.94</v>
      </c>
    </row>
    <row r="222" spans="1:19" ht="15.75" customHeight="1" x14ac:dyDescent="0.3">
      <c r="A222" s="5" t="s">
        <v>369</v>
      </c>
      <c r="B222" s="6">
        <v>45711</v>
      </c>
      <c r="C222" s="5" t="s">
        <v>213</v>
      </c>
      <c r="D222" s="5" t="s">
        <v>214</v>
      </c>
      <c r="E222" s="5" t="s">
        <v>119</v>
      </c>
      <c r="F222" s="5" t="s">
        <v>120</v>
      </c>
      <c r="G222" s="5" t="s">
        <v>21</v>
      </c>
      <c r="H222" s="5">
        <v>5</v>
      </c>
      <c r="I222" s="5">
        <v>89.99</v>
      </c>
      <c r="J222" s="5" t="s">
        <v>36</v>
      </c>
      <c r="K222" s="5" t="s">
        <v>52</v>
      </c>
      <c r="L222" s="5" t="s">
        <v>29</v>
      </c>
      <c r="M222" s="6">
        <v>45140</v>
      </c>
      <c r="N222" s="5">
        <v>449.95</v>
      </c>
      <c r="O222" s="28">
        <f t="shared" ca="1" si="14"/>
        <v>957</v>
      </c>
      <c r="P222" s="28">
        <f>MONTH(Table1[[#This Row],[Date]])</f>
        <v>2</v>
      </c>
      <c r="Q222" s="28">
        <f t="shared" si="15"/>
        <v>2025</v>
      </c>
      <c r="R222" s="30" t="str">
        <f t="shared" si="16"/>
        <v>Normal</v>
      </c>
      <c r="S222" s="31">
        <f t="shared" si="17"/>
        <v>3649.8599999999997</v>
      </c>
    </row>
    <row r="223" spans="1:19" ht="15.75" customHeight="1" x14ac:dyDescent="0.3">
      <c r="A223" s="5" t="s">
        <v>370</v>
      </c>
      <c r="B223" s="6">
        <v>45712</v>
      </c>
      <c r="C223" s="5" t="s">
        <v>140</v>
      </c>
      <c r="D223" s="5" t="s">
        <v>141</v>
      </c>
      <c r="E223" s="5" t="s">
        <v>128</v>
      </c>
      <c r="F223" s="5" t="s">
        <v>129</v>
      </c>
      <c r="G223" s="5" t="s">
        <v>48</v>
      </c>
      <c r="H223" s="5">
        <v>2</v>
      </c>
      <c r="I223" s="5">
        <v>199.99</v>
      </c>
      <c r="J223" s="5" t="s">
        <v>22</v>
      </c>
      <c r="K223" s="5" t="s">
        <v>23</v>
      </c>
      <c r="L223" s="5" t="s">
        <v>29</v>
      </c>
      <c r="M223" s="6">
        <v>44573</v>
      </c>
      <c r="N223" s="5">
        <v>399.98</v>
      </c>
      <c r="O223" s="28">
        <f t="shared" ca="1" si="14"/>
        <v>1524</v>
      </c>
      <c r="P223" s="28">
        <f>MONTH(Table1[[#This Row],[Date]])</f>
        <v>2</v>
      </c>
      <c r="Q223" s="28">
        <f t="shared" si="15"/>
        <v>2025</v>
      </c>
      <c r="R223" s="30" t="str">
        <f t="shared" si="16"/>
        <v>Normal</v>
      </c>
      <c r="S223" s="31">
        <f t="shared" si="17"/>
        <v>2649.83</v>
      </c>
    </row>
    <row r="224" spans="1:19" ht="15.75" customHeight="1" x14ac:dyDescent="0.3">
      <c r="A224" s="5" t="s">
        <v>371</v>
      </c>
      <c r="B224" s="6">
        <v>45715</v>
      </c>
      <c r="C224" s="5" t="s">
        <v>261</v>
      </c>
      <c r="D224" s="5" t="s">
        <v>262</v>
      </c>
      <c r="E224" s="5" t="s">
        <v>33</v>
      </c>
      <c r="F224" s="5" t="s">
        <v>34</v>
      </c>
      <c r="G224" s="5" t="s">
        <v>35</v>
      </c>
      <c r="H224" s="5">
        <v>4</v>
      </c>
      <c r="I224" s="5">
        <v>59.99</v>
      </c>
      <c r="J224" s="5" t="s">
        <v>22</v>
      </c>
      <c r="K224" s="5" t="s">
        <v>52</v>
      </c>
      <c r="L224" s="5" t="s">
        <v>38</v>
      </c>
      <c r="M224" s="6">
        <v>45070</v>
      </c>
      <c r="N224" s="5">
        <v>239.96</v>
      </c>
      <c r="O224" s="28">
        <f t="shared" ca="1" si="14"/>
        <v>1027</v>
      </c>
      <c r="P224" s="28">
        <f>MONTH(Table1[[#This Row],[Date]])</f>
        <v>2</v>
      </c>
      <c r="Q224" s="28">
        <f t="shared" si="15"/>
        <v>2025</v>
      </c>
      <c r="R224" s="30" t="str">
        <f t="shared" si="16"/>
        <v>Normal</v>
      </c>
      <c r="S224" s="31">
        <f t="shared" si="17"/>
        <v>739.93000000000006</v>
      </c>
    </row>
    <row r="225" spans="1:19" ht="15.75" customHeight="1" x14ac:dyDescent="0.3">
      <c r="A225" s="5" t="s">
        <v>372</v>
      </c>
      <c r="B225" s="6">
        <v>45715</v>
      </c>
      <c r="C225" s="5" t="s">
        <v>95</v>
      </c>
      <c r="D225" s="5" t="s">
        <v>96</v>
      </c>
      <c r="E225" s="5" t="s">
        <v>107</v>
      </c>
      <c r="F225" s="5" t="s">
        <v>108</v>
      </c>
      <c r="G225" s="5" t="s">
        <v>48</v>
      </c>
      <c r="H225" s="5">
        <v>2</v>
      </c>
      <c r="I225" s="5">
        <v>299.99</v>
      </c>
      <c r="J225" s="5" t="s">
        <v>36</v>
      </c>
      <c r="K225" s="5" t="s">
        <v>37</v>
      </c>
      <c r="L225" s="5" t="s">
        <v>24</v>
      </c>
      <c r="M225" s="6">
        <v>44576</v>
      </c>
      <c r="N225" s="5">
        <v>599.98</v>
      </c>
      <c r="O225" s="28">
        <f t="shared" ca="1" si="14"/>
        <v>1521</v>
      </c>
      <c r="P225" s="28">
        <f>MONTH(Table1[[#This Row],[Date]])</f>
        <v>2</v>
      </c>
      <c r="Q225" s="28">
        <f t="shared" si="15"/>
        <v>2025</v>
      </c>
      <c r="R225" s="30" t="str">
        <f t="shared" si="16"/>
        <v>Normal</v>
      </c>
      <c r="S225" s="31">
        <f t="shared" si="17"/>
        <v>4789.7900000000009</v>
      </c>
    </row>
    <row r="226" spans="1:19" ht="15.75" customHeight="1" x14ac:dyDescent="0.3">
      <c r="A226" s="5" t="s">
        <v>373</v>
      </c>
      <c r="B226" s="6">
        <v>45718</v>
      </c>
      <c r="C226" s="5" t="s">
        <v>57</v>
      </c>
      <c r="D226" s="5" t="s">
        <v>58</v>
      </c>
      <c r="E226" s="5" t="s">
        <v>46</v>
      </c>
      <c r="F226" s="5" t="s">
        <v>47</v>
      </c>
      <c r="G226" s="5" t="s">
        <v>48</v>
      </c>
      <c r="H226" s="5">
        <v>2</v>
      </c>
      <c r="I226" s="5">
        <v>149.99</v>
      </c>
      <c r="J226" s="5" t="s">
        <v>22</v>
      </c>
      <c r="K226" s="5" t="s">
        <v>23</v>
      </c>
      <c r="L226" s="5" t="s">
        <v>24</v>
      </c>
      <c r="M226" s="6">
        <v>45068</v>
      </c>
      <c r="N226" s="5">
        <v>299.98</v>
      </c>
      <c r="O226" s="28">
        <f t="shared" ca="1" si="14"/>
        <v>1029</v>
      </c>
      <c r="P226" s="28">
        <f>MONTH(Table1[[#This Row],[Date]])</f>
        <v>3</v>
      </c>
      <c r="Q226" s="28">
        <f t="shared" si="15"/>
        <v>2025</v>
      </c>
      <c r="R226" s="30" t="str">
        <f t="shared" si="16"/>
        <v>Normal</v>
      </c>
      <c r="S226" s="31">
        <f t="shared" si="17"/>
        <v>5089.7300000000005</v>
      </c>
    </row>
    <row r="227" spans="1:19" ht="15.75" customHeight="1" x14ac:dyDescent="0.3">
      <c r="A227" s="5" t="s">
        <v>374</v>
      </c>
      <c r="B227" s="6">
        <v>45720</v>
      </c>
      <c r="C227" s="5" t="s">
        <v>228</v>
      </c>
      <c r="D227" s="5" t="s">
        <v>229</v>
      </c>
      <c r="E227" s="5" t="s">
        <v>82</v>
      </c>
      <c r="F227" s="5" t="s">
        <v>83</v>
      </c>
      <c r="G227" s="5" t="s">
        <v>21</v>
      </c>
      <c r="H227" s="5">
        <v>5</v>
      </c>
      <c r="I227" s="5">
        <v>699.99</v>
      </c>
      <c r="J227" s="5" t="s">
        <v>59</v>
      </c>
      <c r="K227" s="5" t="s">
        <v>65</v>
      </c>
      <c r="L227" s="5" t="s">
        <v>29</v>
      </c>
      <c r="M227" s="6">
        <v>45161</v>
      </c>
      <c r="N227" s="5">
        <v>3499.95</v>
      </c>
      <c r="O227" s="28">
        <f t="shared" ca="1" si="14"/>
        <v>936</v>
      </c>
      <c r="P227" s="28">
        <f>MONTH(Table1[[#This Row],[Date]])</f>
        <v>3</v>
      </c>
      <c r="Q227" s="28">
        <f t="shared" si="15"/>
        <v>2025</v>
      </c>
      <c r="R227" s="30" t="str">
        <f t="shared" si="16"/>
        <v>High Value</v>
      </c>
      <c r="S227" s="31">
        <f t="shared" si="17"/>
        <v>6989.7699999999986</v>
      </c>
    </row>
    <row r="228" spans="1:19" ht="15.75" customHeight="1" x14ac:dyDescent="0.3">
      <c r="A228" s="5" t="s">
        <v>375</v>
      </c>
      <c r="B228" s="6">
        <v>45721</v>
      </c>
      <c r="C228" s="5" t="s">
        <v>77</v>
      </c>
      <c r="D228" s="5" t="s">
        <v>78</v>
      </c>
      <c r="E228" s="5" t="s">
        <v>33</v>
      </c>
      <c r="F228" s="5" t="s">
        <v>34</v>
      </c>
      <c r="G228" s="5" t="s">
        <v>35</v>
      </c>
      <c r="H228" s="5">
        <v>5</v>
      </c>
      <c r="I228" s="5">
        <v>59.99</v>
      </c>
      <c r="J228" s="5" t="s">
        <v>22</v>
      </c>
      <c r="K228" s="5" t="s">
        <v>52</v>
      </c>
      <c r="L228" s="5" t="s">
        <v>29</v>
      </c>
      <c r="M228" s="6">
        <v>45291</v>
      </c>
      <c r="N228" s="5">
        <v>299.95</v>
      </c>
      <c r="O228" s="28">
        <f t="shared" ca="1" si="14"/>
        <v>806</v>
      </c>
      <c r="P228" s="28">
        <f>MONTH(Table1[[#This Row],[Date]])</f>
        <v>3</v>
      </c>
      <c r="Q228" s="28">
        <f t="shared" si="15"/>
        <v>2025</v>
      </c>
      <c r="R228" s="30" t="str">
        <f t="shared" si="16"/>
        <v>Normal</v>
      </c>
      <c r="S228" s="31">
        <f t="shared" si="17"/>
        <v>479.91999999999996</v>
      </c>
    </row>
    <row r="229" spans="1:19" ht="15.75" customHeight="1" x14ac:dyDescent="0.3">
      <c r="A229" s="5" t="s">
        <v>376</v>
      </c>
      <c r="B229" s="6">
        <v>45723</v>
      </c>
      <c r="C229" s="5" t="s">
        <v>17</v>
      </c>
      <c r="D229" s="5" t="s">
        <v>18</v>
      </c>
      <c r="E229" s="5" t="s">
        <v>119</v>
      </c>
      <c r="F229" s="5" t="s">
        <v>120</v>
      </c>
      <c r="G229" s="5" t="s">
        <v>21</v>
      </c>
      <c r="H229" s="5">
        <v>2</v>
      </c>
      <c r="I229" s="5">
        <v>89.99</v>
      </c>
      <c r="J229" s="5" t="s">
        <v>28</v>
      </c>
      <c r="K229" s="5" t="s">
        <v>52</v>
      </c>
      <c r="L229" s="5" t="s">
        <v>29</v>
      </c>
      <c r="M229" s="6">
        <v>45295</v>
      </c>
      <c r="N229" s="5">
        <v>179.98</v>
      </c>
      <c r="O229" s="28">
        <f t="shared" ca="1" si="14"/>
        <v>802</v>
      </c>
      <c r="P229" s="28">
        <f>MONTH(Table1[[#This Row],[Date]])</f>
        <v>3</v>
      </c>
      <c r="Q229" s="28">
        <f t="shared" si="15"/>
        <v>2025</v>
      </c>
      <c r="R229" s="30" t="str">
        <f t="shared" si="16"/>
        <v>Normal</v>
      </c>
      <c r="S229" s="31">
        <f t="shared" si="17"/>
        <v>8309.739999999998</v>
      </c>
    </row>
    <row r="230" spans="1:19" ht="15.75" customHeight="1" x14ac:dyDescent="0.3">
      <c r="A230" s="5" t="s">
        <v>377</v>
      </c>
      <c r="B230" s="6">
        <v>45723</v>
      </c>
      <c r="C230" s="5" t="s">
        <v>122</v>
      </c>
      <c r="D230" s="5" t="s">
        <v>123</v>
      </c>
      <c r="E230" s="5" t="s">
        <v>19</v>
      </c>
      <c r="F230" s="5" t="s">
        <v>20</v>
      </c>
      <c r="G230" s="5" t="s">
        <v>21</v>
      </c>
      <c r="H230" s="5">
        <v>5</v>
      </c>
      <c r="I230" s="5">
        <v>249.99</v>
      </c>
      <c r="J230" s="5" t="s">
        <v>22</v>
      </c>
      <c r="K230" s="5" t="s">
        <v>65</v>
      </c>
      <c r="L230" s="5" t="s">
        <v>38</v>
      </c>
      <c r="M230" s="6">
        <v>44540</v>
      </c>
      <c r="N230" s="5">
        <v>1249.95</v>
      </c>
      <c r="O230" s="28">
        <f t="shared" ca="1" si="14"/>
        <v>1557</v>
      </c>
      <c r="P230" s="28">
        <f>MONTH(Table1[[#This Row],[Date]])</f>
        <v>3</v>
      </c>
      <c r="Q230" s="28">
        <f t="shared" si="15"/>
        <v>2025</v>
      </c>
      <c r="R230" s="30" t="str">
        <f t="shared" si="16"/>
        <v>High Value</v>
      </c>
      <c r="S230" s="31">
        <f t="shared" si="17"/>
        <v>6459.79</v>
      </c>
    </row>
    <row r="231" spans="1:19" ht="15.75" customHeight="1" x14ac:dyDescent="0.3">
      <c r="A231" s="5" t="s">
        <v>378</v>
      </c>
      <c r="B231" s="6">
        <v>45724</v>
      </c>
      <c r="C231" s="5" t="s">
        <v>228</v>
      </c>
      <c r="D231" s="5" t="s">
        <v>229</v>
      </c>
      <c r="E231" s="5" t="s">
        <v>46</v>
      </c>
      <c r="F231" s="5" t="s">
        <v>47</v>
      </c>
      <c r="G231" s="5" t="s">
        <v>48</v>
      </c>
      <c r="H231" s="5">
        <v>2</v>
      </c>
      <c r="I231" s="5">
        <v>149.99</v>
      </c>
      <c r="J231" s="5" t="s">
        <v>36</v>
      </c>
      <c r="K231" s="5" t="s">
        <v>23</v>
      </c>
      <c r="L231" s="5" t="s">
        <v>29</v>
      </c>
      <c r="M231" s="6">
        <v>44632</v>
      </c>
      <c r="N231" s="5">
        <v>299.98</v>
      </c>
      <c r="O231" s="28">
        <f t="shared" ca="1" si="14"/>
        <v>1465</v>
      </c>
      <c r="P231" s="28">
        <f>MONTH(Table1[[#This Row],[Date]])</f>
        <v>3</v>
      </c>
      <c r="Q231" s="28">
        <f t="shared" si="15"/>
        <v>2025</v>
      </c>
      <c r="R231" s="30" t="str">
        <f t="shared" si="16"/>
        <v>Normal</v>
      </c>
      <c r="S231" s="31">
        <f t="shared" si="17"/>
        <v>6989.7699999999986</v>
      </c>
    </row>
    <row r="232" spans="1:19" ht="15.75" customHeight="1" x14ac:dyDescent="0.3">
      <c r="A232" s="5" t="s">
        <v>379</v>
      </c>
      <c r="B232" s="6">
        <v>45724</v>
      </c>
      <c r="C232" s="5" t="s">
        <v>146</v>
      </c>
      <c r="D232" s="5" t="s">
        <v>147</v>
      </c>
      <c r="E232" s="5" t="s">
        <v>63</v>
      </c>
      <c r="F232" s="5" t="s">
        <v>64</v>
      </c>
      <c r="G232" s="5" t="s">
        <v>21</v>
      </c>
      <c r="H232" s="5">
        <v>5</v>
      </c>
      <c r="I232" s="5">
        <v>899.99</v>
      </c>
      <c r="J232" s="5" t="s">
        <v>36</v>
      </c>
      <c r="K232" s="5" t="s">
        <v>65</v>
      </c>
      <c r="L232" s="5" t="s">
        <v>29</v>
      </c>
      <c r="M232" s="6">
        <v>45389</v>
      </c>
      <c r="N232" s="5">
        <v>4499.95</v>
      </c>
      <c r="O232" s="28">
        <f t="shared" ca="1" si="14"/>
        <v>708</v>
      </c>
      <c r="P232" s="28">
        <f>MONTH(Table1[[#This Row],[Date]])</f>
        <v>3</v>
      </c>
      <c r="Q232" s="28">
        <f t="shared" si="15"/>
        <v>2025</v>
      </c>
      <c r="R232" s="30" t="str">
        <f t="shared" si="16"/>
        <v>High Value</v>
      </c>
      <c r="S232" s="31">
        <f t="shared" si="17"/>
        <v>5519.8899999999994</v>
      </c>
    </row>
    <row r="233" spans="1:19" ht="15.75" customHeight="1" x14ac:dyDescent="0.3">
      <c r="A233" s="5" t="s">
        <v>380</v>
      </c>
      <c r="B233" s="6">
        <v>45724</v>
      </c>
      <c r="C233" s="5" t="s">
        <v>57</v>
      </c>
      <c r="D233" s="5" t="s">
        <v>58</v>
      </c>
      <c r="E233" s="5" t="s">
        <v>46</v>
      </c>
      <c r="F233" s="5" t="s">
        <v>47</v>
      </c>
      <c r="G233" s="5" t="s">
        <v>48</v>
      </c>
      <c r="H233" s="5">
        <v>4</v>
      </c>
      <c r="I233" s="5">
        <v>149.99</v>
      </c>
      <c r="J233" s="5" t="s">
        <v>22</v>
      </c>
      <c r="K233" s="5" t="s">
        <v>23</v>
      </c>
      <c r="L233" s="5" t="s">
        <v>38</v>
      </c>
      <c r="M233" s="6">
        <v>45263</v>
      </c>
      <c r="N233" s="5">
        <v>599.96</v>
      </c>
      <c r="O233" s="28">
        <f t="shared" ca="1" si="14"/>
        <v>834</v>
      </c>
      <c r="P233" s="28">
        <f>MONTH(Table1[[#This Row],[Date]])</f>
        <v>3</v>
      </c>
      <c r="Q233" s="28">
        <f t="shared" si="15"/>
        <v>2025</v>
      </c>
      <c r="R233" s="30" t="str">
        <f t="shared" si="16"/>
        <v>Normal</v>
      </c>
      <c r="S233" s="31">
        <f t="shared" si="17"/>
        <v>5089.7300000000005</v>
      </c>
    </row>
    <row r="234" spans="1:19" ht="15.75" customHeight="1" x14ac:dyDescent="0.3">
      <c r="A234" s="5" t="s">
        <v>381</v>
      </c>
      <c r="B234" s="6">
        <v>45726</v>
      </c>
      <c r="C234" s="5" t="s">
        <v>146</v>
      </c>
      <c r="D234" s="5" t="s">
        <v>147</v>
      </c>
      <c r="E234" s="5" t="s">
        <v>19</v>
      </c>
      <c r="F234" s="5" t="s">
        <v>20</v>
      </c>
      <c r="G234" s="5" t="s">
        <v>21</v>
      </c>
      <c r="H234" s="5">
        <v>1</v>
      </c>
      <c r="I234" s="5">
        <v>249.99</v>
      </c>
      <c r="J234" s="5" t="s">
        <v>22</v>
      </c>
      <c r="K234" s="5" t="s">
        <v>42</v>
      </c>
      <c r="L234" s="5" t="s">
        <v>38</v>
      </c>
      <c r="M234" s="6">
        <v>45117</v>
      </c>
      <c r="N234" s="5">
        <v>249.99</v>
      </c>
      <c r="O234" s="28">
        <f t="shared" ca="1" si="14"/>
        <v>980</v>
      </c>
      <c r="P234" s="28">
        <f>MONTH(Table1[[#This Row],[Date]])</f>
        <v>3</v>
      </c>
      <c r="Q234" s="28">
        <f t="shared" si="15"/>
        <v>2025</v>
      </c>
      <c r="R234" s="30" t="str">
        <f t="shared" si="16"/>
        <v>Normal</v>
      </c>
      <c r="S234" s="31">
        <f t="shared" si="17"/>
        <v>5519.8899999999994</v>
      </c>
    </row>
    <row r="235" spans="1:19" ht="15.75" customHeight="1" x14ac:dyDescent="0.3">
      <c r="A235" s="5" t="s">
        <v>382</v>
      </c>
      <c r="B235" s="6">
        <v>45734</v>
      </c>
      <c r="C235" s="5" t="s">
        <v>194</v>
      </c>
      <c r="D235" s="5" t="s">
        <v>195</v>
      </c>
      <c r="E235" s="5" t="s">
        <v>33</v>
      </c>
      <c r="F235" s="5" t="s">
        <v>34</v>
      </c>
      <c r="G235" s="5" t="s">
        <v>35</v>
      </c>
      <c r="H235" s="5">
        <v>2</v>
      </c>
      <c r="I235" s="5">
        <v>59.99</v>
      </c>
      <c r="J235" s="5" t="s">
        <v>28</v>
      </c>
      <c r="K235" s="5" t="s">
        <v>52</v>
      </c>
      <c r="L235" s="5" t="s">
        <v>24</v>
      </c>
      <c r="M235" s="6">
        <v>45193</v>
      </c>
      <c r="N235" s="5">
        <v>119.98</v>
      </c>
      <c r="O235" s="28">
        <f t="shared" ca="1" si="14"/>
        <v>904</v>
      </c>
      <c r="P235" s="28">
        <f>MONTH(Table1[[#This Row],[Date]])</f>
        <v>3</v>
      </c>
      <c r="Q235" s="28">
        <f t="shared" si="15"/>
        <v>2025</v>
      </c>
      <c r="R235" s="30" t="str">
        <f t="shared" si="16"/>
        <v>Normal</v>
      </c>
      <c r="S235" s="31">
        <f t="shared" si="17"/>
        <v>1479.91</v>
      </c>
    </row>
    <row r="236" spans="1:19" ht="15.75" customHeight="1" x14ac:dyDescent="0.3">
      <c r="A236" s="5" t="s">
        <v>383</v>
      </c>
      <c r="B236" s="6">
        <v>45737</v>
      </c>
      <c r="C236" s="5" t="s">
        <v>134</v>
      </c>
      <c r="D236" s="5" t="s">
        <v>135</v>
      </c>
      <c r="E236" s="5" t="s">
        <v>46</v>
      </c>
      <c r="F236" s="5" t="s">
        <v>47</v>
      </c>
      <c r="G236" s="5" t="s">
        <v>48</v>
      </c>
      <c r="H236" s="5">
        <v>2</v>
      </c>
      <c r="I236" s="5">
        <v>149.99</v>
      </c>
      <c r="J236" s="5" t="s">
        <v>22</v>
      </c>
      <c r="K236" s="5" t="s">
        <v>52</v>
      </c>
      <c r="L236" s="5" t="s">
        <v>29</v>
      </c>
      <c r="M236" s="6">
        <v>45233</v>
      </c>
      <c r="N236" s="5">
        <v>299.98</v>
      </c>
      <c r="O236" s="28">
        <f t="shared" ca="1" si="14"/>
        <v>864</v>
      </c>
      <c r="P236" s="28">
        <f>MONTH(Table1[[#This Row],[Date]])</f>
        <v>3</v>
      </c>
      <c r="Q236" s="28">
        <f t="shared" si="15"/>
        <v>2025</v>
      </c>
      <c r="R236" s="30" t="str">
        <f t="shared" si="16"/>
        <v>Normal</v>
      </c>
      <c r="S236" s="31">
        <f t="shared" si="17"/>
        <v>1229.8800000000001</v>
      </c>
    </row>
    <row r="237" spans="1:19" ht="15.75" customHeight="1" x14ac:dyDescent="0.3">
      <c r="A237" s="5" t="s">
        <v>384</v>
      </c>
      <c r="B237" s="6">
        <v>45737</v>
      </c>
      <c r="C237" s="5" t="s">
        <v>152</v>
      </c>
      <c r="D237" s="5" t="s">
        <v>153</v>
      </c>
      <c r="E237" s="5" t="s">
        <v>63</v>
      </c>
      <c r="F237" s="5" t="s">
        <v>64</v>
      </c>
      <c r="G237" s="5" t="s">
        <v>21</v>
      </c>
      <c r="H237" s="5">
        <v>3</v>
      </c>
      <c r="I237" s="5">
        <v>899.99</v>
      </c>
      <c r="J237" s="5" t="s">
        <v>59</v>
      </c>
      <c r="K237" s="5" t="s">
        <v>42</v>
      </c>
      <c r="L237" s="5" t="s">
        <v>29</v>
      </c>
      <c r="M237" s="6">
        <v>44876</v>
      </c>
      <c r="N237" s="5">
        <v>2699.97</v>
      </c>
      <c r="O237" s="28">
        <f t="shared" ca="1" si="14"/>
        <v>1221</v>
      </c>
      <c r="P237" s="28">
        <f>MONTH(Table1[[#This Row],[Date]])</f>
        <v>3</v>
      </c>
      <c r="Q237" s="28">
        <f t="shared" si="15"/>
        <v>2025</v>
      </c>
      <c r="R237" s="30" t="str">
        <f t="shared" si="16"/>
        <v>High Value</v>
      </c>
      <c r="S237" s="31">
        <f t="shared" si="17"/>
        <v>5619.869999999999</v>
      </c>
    </row>
    <row r="238" spans="1:19" ht="15.75" customHeight="1" x14ac:dyDescent="0.3">
      <c r="A238" s="5" t="s">
        <v>385</v>
      </c>
      <c r="B238" s="6">
        <v>45737</v>
      </c>
      <c r="C238" s="5" t="s">
        <v>50</v>
      </c>
      <c r="D238" s="5" t="s">
        <v>51</v>
      </c>
      <c r="E238" s="5" t="s">
        <v>63</v>
      </c>
      <c r="F238" s="5" t="s">
        <v>64</v>
      </c>
      <c r="G238" s="5" t="s">
        <v>21</v>
      </c>
      <c r="H238" s="5">
        <v>3</v>
      </c>
      <c r="I238" s="5">
        <v>899.99</v>
      </c>
      <c r="J238" s="5" t="s">
        <v>36</v>
      </c>
      <c r="K238" s="5" t="s">
        <v>42</v>
      </c>
      <c r="L238" s="5" t="s">
        <v>24</v>
      </c>
      <c r="M238" s="6">
        <v>44975</v>
      </c>
      <c r="N238" s="5">
        <v>2699.97</v>
      </c>
      <c r="O238" s="28">
        <f t="shared" ca="1" si="14"/>
        <v>1122</v>
      </c>
      <c r="P238" s="28">
        <f>MONTH(Table1[[#This Row],[Date]])</f>
        <v>3</v>
      </c>
      <c r="Q238" s="28">
        <f t="shared" si="15"/>
        <v>2025</v>
      </c>
      <c r="R238" s="30" t="str">
        <f t="shared" si="16"/>
        <v>High Value</v>
      </c>
      <c r="S238" s="31">
        <f t="shared" si="17"/>
        <v>8269.7900000000009</v>
      </c>
    </row>
    <row r="239" spans="1:19" ht="15.75" customHeight="1" x14ac:dyDescent="0.3">
      <c r="A239" s="5" t="s">
        <v>386</v>
      </c>
      <c r="B239" s="6">
        <v>45739</v>
      </c>
      <c r="C239" s="5" t="s">
        <v>17</v>
      </c>
      <c r="D239" s="5" t="s">
        <v>18</v>
      </c>
      <c r="E239" s="5" t="s">
        <v>107</v>
      </c>
      <c r="F239" s="5" t="s">
        <v>108</v>
      </c>
      <c r="G239" s="5" t="s">
        <v>48</v>
      </c>
      <c r="H239" s="5">
        <v>3</v>
      </c>
      <c r="I239" s="5">
        <v>299.99</v>
      </c>
      <c r="J239" s="5" t="s">
        <v>28</v>
      </c>
      <c r="K239" s="5" t="s">
        <v>52</v>
      </c>
      <c r="L239" s="5" t="s">
        <v>29</v>
      </c>
      <c r="M239" s="6">
        <v>45234</v>
      </c>
      <c r="N239" s="5">
        <v>899.97</v>
      </c>
      <c r="O239" s="28">
        <f t="shared" ca="1" si="14"/>
        <v>863</v>
      </c>
      <c r="P239" s="28">
        <f>MONTH(Table1[[#This Row],[Date]])</f>
        <v>3</v>
      </c>
      <c r="Q239" s="28">
        <f t="shared" si="15"/>
        <v>2025</v>
      </c>
      <c r="R239" s="30" t="str">
        <f t="shared" si="16"/>
        <v>Normal</v>
      </c>
      <c r="S239" s="31">
        <f t="shared" si="17"/>
        <v>8309.739999999998</v>
      </c>
    </row>
    <row r="240" spans="1:19" ht="15.75" customHeight="1" x14ac:dyDescent="0.3">
      <c r="A240" s="5" t="s">
        <v>387</v>
      </c>
      <c r="B240" s="6">
        <v>45740</v>
      </c>
      <c r="C240" s="5" t="s">
        <v>388</v>
      </c>
      <c r="D240" s="5" t="s">
        <v>389</v>
      </c>
      <c r="E240" s="5" t="s">
        <v>46</v>
      </c>
      <c r="F240" s="5" t="s">
        <v>47</v>
      </c>
      <c r="G240" s="5" t="s">
        <v>48</v>
      </c>
      <c r="H240" s="5">
        <v>4</v>
      </c>
      <c r="I240" s="5">
        <v>149.99</v>
      </c>
      <c r="J240" s="5" t="s">
        <v>36</v>
      </c>
      <c r="K240" s="5" t="s">
        <v>52</v>
      </c>
      <c r="L240" s="5" t="s">
        <v>38</v>
      </c>
      <c r="M240" s="6">
        <v>44560</v>
      </c>
      <c r="N240" s="5">
        <v>599.96</v>
      </c>
      <c r="O240" s="28">
        <f t="shared" ca="1" si="14"/>
        <v>1537</v>
      </c>
      <c r="P240" s="28">
        <f>MONTH(Table1[[#This Row],[Date]])</f>
        <v>3</v>
      </c>
      <c r="Q240" s="28">
        <f t="shared" si="15"/>
        <v>2025</v>
      </c>
      <c r="R240" s="30" t="str">
        <f t="shared" si="16"/>
        <v>Normal</v>
      </c>
      <c r="S240" s="31">
        <f t="shared" si="17"/>
        <v>599.96</v>
      </c>
    </row>
    <row r="241" spans="1:19" ht="15.75" customHeight="1" x14ac:dyDescent="0.3">
      <c r="A241" s="5" t="s">
        <v>390</v>
      </c>
      <c r="B241" s="6">
        <v>45743</v>
      </c>
      <c r="C241" s="5" t="s">
        <v>104</v>
      </c>
      <c r="D241" s="5" t="s">
        <v>105</v>
      </c>
      <c r="E241" s="5" t="s">
        <v>116</v>
      </c>
      <c r="F241" s="5" t="s">
        <v>117</v>
      </c>
      <c r="G241" s="5" t="s">
        <v>35</v>
      </c>
      <c r="H241" s="5">
        <v>4</v>
      </c>
      <c r="I241" s="5">
        <v>79.989999999999995</v>
      </c>
      <c r="J241" s="5" t="s">
        <v>28</v>
      </c>
      <c r="K241" s="5" t="s">
        <v>23</v>
      </c>
      <c r="L241" s="5" t="s">
        <v>24</v>
      </c>
      <c r="M241" s="6">
        <v>45288</v>
      </c>
      <c r="N241" s="5">
        <v>319.95999999999998</v>
      </c>
      <c r="O241" s="28">
        <f t="shared" ca="1" si="14"/>
        <v>809</v>
      </c>
      <c r="P241" s="28">
        <f>MONTH(Table1[[#This Row],[Date]])</f>
        <v>3</v>
      </c>
      <c r="Q241" s="28">
        <f t="shared" si="15"/>
        <v>2025</v>
      </c>
      <c r="R241" s="30" t="str">
        <f t="shared" si="16"/>
        <v>Normal</v>
      </c>
      <c r="S241" s="31">
        <f t="shared" si="17"/>
        <v>3769.8300000000004</v>
      </c>
    </row>
    <row r="242" spans="1:19" ht="15.75" customHeight="1" x14ac:dyDescent="0.3">
      <c r="A242" s="5" t="s">
        <v>391</v>
      </c>
      <c r="B242" s="6">
        <v>45745</v>
      </c>
      <c r="C242" s="5" t="s">
        <v>187</v>
      </c>
      <c r="D242" s="5" t="s">
        <v>188</v>
      </c>
      <c r="E242" s="5" t="s">
        <v>119</v>
      </c>
      <c r="F242" s="5" t="s">
        <v>120</v>
      </c>
      <c r="G242" s="5" t="s">
        <v>21</v>
      </c>
      <c r="H242" s="5">
        <v>5</v>
      </c>
      <c r="I242" s="5">
        <v>89.99</v>
      </c>
      <c r="J242" s="5" t="s">
        <v>36</v>
      </c>
      <c r="K242" s="5" t="s">
        <v>37</v>
      </c>
      <c r="L242" s="5" t="s">
        <v>24</v>
      </c>
      <c r="M242" s="6">
        <v>44704</v>
      </c>
      <c r="N242" s="5">
        <v>449.95</v>
      </c>
      <c r="O242" s="28">
        <f t="shared" ca="1" si="14"/>
        <v>1393</v>
      </c>
      <c r="P242" s="28">
        <f>MONTH(Table1[[#This Row],[Date]])</f>
        <v>3</v>
      </c>
      <c r="Q242" s="28">
        <f t="shared" si="15"/>
        <v>2025</v>
      </c>
      <c r="R242" s="30" t="str">
        <f t="shared" si="16"/>
        <v>Normal</v>
      </c>
      <c r="S242" s="31">
        <f t="shared" si="17"/>
        <v>2099.88</v>
      </c>
    </row>
    <row r="243" spans="1:19" ht="15.75" customHeight="1" x14ac:dyDescent="0.3">
      <c r="A243" s="5" t="s">
        <v>392</v>
      </c>
      <c r="B243" s="6">
        <v>45746</v>
      </c>
      <c r="C243" s="5" t="s">
        <v>95</v>
      </c>
      <c r="D243" s="5" t="s">
        <v>96</v>
      </c>
      <c r="E243" s="5" t="s">
        <v>46</v>
      </c>
      <c r="F243" s="5" t="s">
        <v>47</v>
      </c>
      <c r="G243" s="5" t="s">
        <v>48</v>
      </c>
      <c r="H243" s="5">
        <v>3</v>
      </c>
      <c r="I243" s="5">
        <v>149.99</v>
      </c>
      <c r="J243" s="5" t="s">
        <v>36</v>
      </c>
      <c r="K243" s="5" t="s">
        <v>23</v>
      </c>
      <c r="L243" s="5" t="s">
        <v>38</v>
      </c>
      <c r="M243" s="6">
        <v>45171</v>
      </c>
      <c r="N243" s="5">
        <v>449.97</v>
      </c>
      <c r="O243" s="28">
        <f t="shared" ca="1" si="14"/>
        <v>926</v>
      </c>
      <c r="P243" s="28">
        <f>MONTH(Table1[[#This Row],[Date]])</f>
        <v>3</v>
      </c>
      <c r="Q243" s="28">
        <f t="shared" si="15"/>
        <v>2025</v>
      </c>
      <c r="R243" s="30" t="str">
        <f t="shared" si="16"/>
        <v>Normal</v>
      </c>
      <c r="S243" s="31">
        <f t="shared" si="17"/>
        <v>4789.7900000000009</v>
      </c>
    </row>
    <row r="244" spans="1:19" ht="15.75" customHeight="1" x14ac:dyDescent="0.3">
      <c r="A244" s="5" t="s">
        <v>393</v>
      </c>
      <c r="B244" s="6">
        <v>45746</v>
      </c>
      <c r="C244" s="5" t="s">
        <v>67</v>
      </c>
      <c r="D244" s="5" t="s">
        <v>68</v>
      </c>
      <c r="E244" s="5" t="s">
        <v>119</v>
      </c>
      <c r="F244" s="5" t="s">
        <v>120</v>
      </c>
      <c r="G244" s="5" t="s">
        <v>21</v>
      </c>
      <c r="H244" s="5">
        <v>2</v>
      </c>
      <c r="I244" s="5">
        <v>89.99</v>
      </c>
      <c r="J244" s="5" t="s">
        <v>59</v>
      </c>
      <c r="K244" s="5" t="s">
        <v>52</v>
      </c>
      <c r="L244" s="5" t="s">
        <v>29</v>
      </c>
      <c r="M244" s="6">
        <v>44522</v>
      </c>
      <c r="N244" s="5">
        <v>179.98</v>
      </c>
      <c r="O244" s="28">
        <f t="shared" ca="1" si="14"/>
        <v>1575</v>
      </c>
      <c r="P244" s="28">
        <f>MONTH(Table1[[#This Row],[Date]])</f>
        <v>3</v>
      </c>
      <c r="Q244" s="28">
        <f t="shared" si="15"/>
        <v>2025</v>
      </c>
      <c r="R244" s="30" t="str">
        <f t="shared" si="16"/>
        <v>Normal</v>
      </c>
      <c r="S244" s="31">
        <f t="shared" si="17"/>
        <v>8009.7699999999995</v>
      </c>
    </row>
    <row r="245" spans="1:19" ht="15.75" customHeight="1" x14ac:dyDescent="0.3">
      <c r="A245" s="5" t="s">
        <v>394</v>
      </c>
      <c r="B245" s="6">
        <v>45748</v>
      </c>
      <c r="C245" s="5" t="s">
        <v>104</v>
      </c>
      <c r="D245" s="5" t="s">
        <v>105</v>
      </c>
      <c r="E245" s="5" t="s">
        <v>82</v>
      </c>
      <c r="F245" s="5" t="s">
        <v>83</v>
      </c>
      <c r="G245" s="5" t="s">
        <v>21</v>
      </c>
      <c r="H245" s="5">
        <v>2</v>
      </c>
      <c r="I245" s="5">
        <v>699.99</v>
      </c>
      <c r="J245" s="5" t="s">
        <v>36</v>
      </c>
      <c r="K245" s="5" t="s">
        <v>42</v>
      </c>
      <c r="L245" s="5" t="s">
        <v>38</v>
      </c>
      <c r="M245" s="6">
        <v>44618</v>
      </c>
      <c r="N245" s="5">
        <v>1399.98</v>
      </c>
      <c r="O245" s="28">
        <f t="shared" ca="1" si="14"/>
        <v>1479</v>
      </c>
      <c r="P245" s="28">
        <f>MONTH(Table1[[#This Row],[Date]])</f>
        <v>4</v>
      </c>
      <c r="Q245" s="28">
        <f t="shared" si="15"/>
        <v>2025</v>
      </c>
      <c r="R245" s="30" t="str">
        <f t="shared" si="16"/>
        <v>High Value</v>
      </c>
      <c r="S245" s="31">
        <f t="shared" si="17"/>
        <v>3769.8300000000004</v>
      </c>
    </row>
    <row r="246" spans="1:19" ht="15.75" customHeight="1" x14ac:dyDescent="0.3">
      <c r="A246" s="5" t="s">
        <v>395</v>
      </c>
      <c r="B246" s="6">
        <v>45749</v>
      </c>
      <c r="C246" s="5" t="s">
        <v>125</v>
      </c>
      <c r="D246" s="5" t="s">
        <v>126</v>
      </c>
      <c r="E246" s="5" t="s">
        <v>63</v>
      </c>
      <c r="F246" s="5" t="s">
        <v>64</v>
      </c>
      <c r="G246" s="5" t="s">
        <v>21</v>
      </c>
      <c r="H246" s="5">
        <v>3</v>
      </c>
      <c r="I246" s="5">
        <v>899.99</v>
      </c>
      <c r="J246" s="5" t="s">
        <v>22</v>
      </c>
      <c r="K246" s="5" t="s">
        <v>23</v>
      </c>
      <c r="L246" s="5" t="s">
        <v>38</v>
      </c>
      <c r="M246" s="6">
        <v>44953</v>
      </c>
      <c r="N246" s="5">
        <v>2699.97</v>
      </c>
      <c r="O246" s="28">
        <f t="shared" ca="1" si="14"/>
        <v>1144</v>
      </c>
      <c r="P246" s="28">
        <f>MONTH(Table1[[#This Row],[Date]])</f>
        <v>4</v>
      </c>
      <c r="Q246" s="28">
        <f t="shared" si="15"/>
        <v>2025</v>
      </c>
      <c r="R246" s="30" t="str">
        <f t="shared" si="16"/>
        <v>High Value</v>
      </c>
      <c r="S246" s="31">
        <f t="shared" si="17"/>
        <v>11919.769999999999</v>
      </c>
    </row>
    <row r="247" spans="1:19" ht="15.75" customHeight="1" x14ac:dyDescent="0.3">
      <c r="A247" s="5" t="s">
        <v>396</v>
      </c>
      <c r="B247" s="6">
        <v>45755</v>
      </c>
      <c r="C247" s="5" t="s">
        <v>95</v>
      </c>
      <c r="D247" s="5" t="s">
        <v>96</v>
      </c>
      <c r="E247" s="5" t="s">
        <v>116</v>
      </c>
      <c r="F247" s="5" t="s">
        <v>117</v>
      </c>
      <c r="G247" s="5" t="s">
        <v>35</v>
      </c>
      <c r="H247" s="5">
        <v>3</v>
      </c>
      <c r="I247" s="5">
        <v>79.989999999999995</v>
      </c>
      <c r="J247" s="5" t="s">
        <v>28</v>
      </c>
      <c r="K247" s="5" t="s">
        <v>42</v>
      </c>
      <c r="L247" s="5" t="s">
        <v>24</v>
      </c>
      <c r="M247" s="6">
        <v>44511</v>
      </c>
      <c r="N247" s="5">
        <v>239.97</v>
      </c>
      <c r="O247" s="28">
        <f t="shared" ca="1" si="14"/>
        <v>1586</v>
      </c>
      <c r="P247" s="28">
        <f>MONTH(Table1[[#This Row],[Date]])</f>
        <v>4</v>
      </c>
      <c r="Q247" s="28">
        <f t="shared" si="15"/>
        <v>2025</v>
      </c>
      <c r="R247" s="30" t="str">
        <f t="shared" si="16"/>
        <v>Normal</v>
      </c>
      <c r="S247" s="31">
        <f t="shared" si="17"/>
        <v>4789.7900000000009</v>
      </c>
    </row>
    <row r="248" spans="1:19" ht="15.75" customHeight="1" x14ac:dyDescent="0.3">
      <c r="A248" s="5" t="s">
        <v>397</v>
      </c>
      <c r="B248" s="6">
        <v>45756</v>
      </c>
      <c r="C248" s="5" t="s">
        <v>61</v>
      </c>
      <c r="D248" s="5" t="s">
        <v>62</v>
      </c>
      <c r="E248" s="5" t="s">
        <v>119</v>
      </c>
      <c r="F248" s="5" t="s">
        <v>120</v>
      </c>
      <c r="G248" s="5" t="s">
        <v>21</v>
      </c>
      <c r="H248" s="5">
        <v>1</v>
      </c>
      <c r="I248" s="5">
        <v>89.99</v>
      </c>
      <c r="J248" s="5" t="s">
        <v>59</v>
      </c>
      <c r="K248" s="5" t="s">
        <v>65</v>
      </c>
      <c r="L248" s="5" t="s">
        <v>24</v>
      </c>
      <c r="M248" s="6">
        <v>45346</v>
      </c>
      <c r="N248" s="5">
        <v>89.99</v>
      </c>
      <c r="O248" s="28">
        <f t="shared" ca="1" si="14"/>
        <v>751</v>
      </c>
      <c r="P248" s="28">
        <f>MONTH(Table1[[#This Row],[Date]])</f>
        <v>4</v>
      </c>
      <c r="Q248" s="28">
        <f t="shared" si="15"/>
        <v>2025</v>
      </c>
      <c r="R248" s="30" t="str">
        <f t="shared" si="16"/>
        <v>Normal</v>
      </c>
      <c r="S248" s="31">
        <f t="shared" si="17"/>
        <v>3509.8999999999996</v>
      </c>
    </row>
    <row r="249" spans="1:19" ht="15.75" customHeight="1" x14ac:dyDescent="0.3">
      <c r="A249" s="5" t="s">
        <v>398</v>
      </c>
      <c r="B249" s="6">
        <v>45758</v>
      </c>
      <c r="C249" s="5" t="s">
        <v>295</v>
      </c>
      <c r="D249" s="5" t="s">
        <v>296</v>
      </c>
      <c r="E249" s="5" t="s">
        <v>82</v>
      </c>
      <c r="F249" s="5" t="s">
        <v>83</v>
      </c>
      <c r="G249" s="5" t="s">
        <v>21</v>
      </c>
      <c r="H249" s="5">
        <v>3</v>
      </c>
      <c r="I249" s="5">
        <v>699.99</v>
      </c>
      <c r="J249" s="5" t="s">
        <v>36</v>
      </c>
      <c r="K249" s="5" t="s">
        <v>42</v>
      </c>
      <c r="L249" s="5" t="s">
        <v>24</v>
      </c>
      <c r="M249" s="6">
        <v>44909</v>
      </c>
      <c r="N249" s="5">
        <v>2099.9699999999998</v>
      </c>
      <c r="O249" s="28">
        <f t="shared" ca="1" si="14"/>
        <v>1188</v>
      </c>
      <c r="P249" s="28">
        <f>MONTH(Table1[[#This Row],[Date]])</f>
        <v>4</v>
      </c>
      <c r="Q249" s="28">
        <f t="shared" si="15"/>
        <v>2025</v>
      </c>
      <c r="R249" s="30" t="str">
        <f t="shared" si="16"/>
        <v>High Value</v>
      </c>
      <c r="S249" s="31">
        <f t="shared" si="17"/>
        <v>4829.8899999999994</v>
      </c>
    </row>
    <row r="250" spans="1:19" ht="15.75" customHeight="1" x14ac:dyDescent="0.3">
      <c r="A250" s="5" t="s">
        <v>399</v>
      </c>
      <c r="B250" s="6">
        <v>45758</v>
      </c>
      <c r="C250" s="5" t="s">
        <v>228</v>
      </c>
      <c r="D250" s="5" t="s">
        <v>229</v>
      </c>
      <c r="E250" s="5" t="s">
        <v>119</v>
      </c>
      <c r="F250" s="5" t="s">
        <v>120</v>
      </c>
      <c r="G250" s="5" t="s">
        <v>21</v>
      </c>
      <c r="H250" s="5">
        <v>2</v>
      </c>
      <c r="I250" s="5">
        <v>89.99</v>
      </c>
      <c r="J250" s="5" t="s">
        <v>59</v>
      </c>
      <c r="K250" s="5" t="s">
        <v>65</v>
      </c>
      <c r="L250" s="5" t="s">
        <v>24</v>
      </c>
      <c r="M250" s="6">
        <v>45088</v>
      </c>
      <c r="N250" s="5">
        <v>179.98</v>
      </c>
      <c r="O250" s="28">
        <f t="shared" ca="1" si="14"/>
        <v>1009</v>
      </c>
      <c r="P250" s="28">
        <f>MONTH(Table1[[#This Row],[Date]])</f>
        <v>4</v>
      </c>
      <c r="Q250" s="28">
        <f t="shared" si="15"/>
        <v>2025</v>
      </c>
      <c r="R250" s="30" t="str">
        <f t="shared" si="16"/>
        <v>Normal</v>
      </c>
      <c r="S250" s="31">
        <f t="shared" si="17"/>
        <v>6989.7699999999986</v>
      </c>
    </row>
    <row r="251" spans="1:19" ht="15.75" customHeight="1" x14ac:dyDescent="0.3">
      <c r="A251" s="5" t="s">
        <v>400</v>
      </c>
      <c r="B251" s="6">
        <v>45758</v>
      </c>
      <c r="C251" s="5" t="s">
        <v>140</v>
      </c>
      <c r="D251" s="5" t="s">
        <v>141</v>
      </c>
      <c r="E251" s="5" t="s">
        <v>119</v>
      </c>
      <c r="F251" s="5" t="s">
        <v>120</v>
      </c>
      <c r="G251" s="5" t="s">
        <v>21</v>
      </c>
      <c r="H251" s="5">
        <v>3</v>
      </c>
      <c r="I251" s="5">
        <v>89.99</v>
      </c>
      <c r="J251" s="5" t="s">
        <v>59</v>
      </c>
      <c r="K251" s="5" t="s">
        <v>42</v>
      </c>
      <c r="L251" s="5" t="s">
        <v>29</v>
      </c>
      <c r="M251" s="6">
        <v>44878</v>
      </c>
      <c r="N251" s="5">
        <v>269.97000000000003</v>
      </c>
      <c r="O251" s="28">
        <f t="shared" ca="1" si="14"/>
        <v>1219</v>
      </c>
      <c r="P251" s="28">
        <f>MONTH(Table1[[#This Row],[Date]])</f>
        <v>4</v>
      </c>
      <c r="Q251" s="28">
        <f t="shared" si="15"/>
        <v>2025</v>
      </c>
      <c r="R251" s="30" t="str">
        <f t="shared" si="16"/>
        <v>Normal</v>
      </c>
      <c r="S251" s="31">
        <f t="shared" si="17"/>
        <v>2649.83</v>
      </c>
    </row>
    <row r="252" spans="1:19" ht="15.75" customHeight="1" x14ac:dyDescent="0.3">
      <c r="A252" s="22"/>
      <c r="B252" s="23"/>
      <c r="C252" s="22"/>
      <c r="E252" s="22"/>
      <c r="F252" s="22"/>
      <c r="G252" s="22"/>
      <c r="H252" s="22"/>
      <c r="I252" s="22"/>
      <c r="J252" s="22"/>
      <c r="K252" s="22"/>
      <c r="L252" s="22"/>
      <c r="M252" s="23"/>
      <c r="N252" s="22"/>
      <c r="R252" s="32"/>
      <c r="S252" s="32"/>
    </row>
    <row r="253" spans="1:19" ht="15.75" customHeight="1" x14ac:dyDescent="0.3"/>
    <row r="254" spans="1:19" ht="15.75" customHeight="1" x14ac:dyDescent="0.3"/>
    <row r="255" spans="1:19" ht="15.75" customHeight="1" x14ac:dyDescent="0.3"/>
    <row r="256" spans="1:19"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2" show="2" sqref="P2 Q2">
    <scenario name="Best Case" locked="1" count="2" user="DELL" comment="Created by DELL on 12/23/2025">
      <inputCells r="B2" val="Sales" numFmtId="164"/>
      <inputCells r="B3" val="Cost" numFmtId="164"/>
    </scenario>
    <scenario name="Worst Case" locked="1" count="2" user="DELL" comment="Created by DELL on 12/23/2025">
      <inputCells r="B2" val="Sales" numFmtId="164"/>
      <inputCells r="B3" val="Cost" numFmtId="164"/>
    </scenario>
    <scenario name="Average Cae" locked="1" count="2" user="DELL" comment="Created by DELL on 12/23/2025">
      <inputCells r="B2" val="Sales" numFmtId="164"/>
      <inputCells r="B3" val="Cost" numFmtId="164"/>
    </scenario>
  </scenarios>
  <conditionalFormatting sqref="T2:T24">
    <cfRule type="iconSet" priority="1">
      <iconSet iconSet="3Arrows">
        <cfvo type="percent" val="0"/>
        <cfvo type="percent" val="33"/>
        <cfvo type="percent" val="67"/>
      </iconSet>
    </cfRule>
  </conditionalFormatting>
  <pageMargins left="0.75" right="0.75" top="1" bottom="1" header="0" footer="0"/>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W252"/>
  <sheetViews>
    <sheetView showGridLines="0" showRowColHeaders="0" tabSelected="1" zoomScale="85" zoomScaleNormal="85" workbookViewId="0">
      <selection activeCell="U15" sqref="U15"/>
    </sheetView>
  </sheetViews>
  <sheetFormatPr defaultRowHeight="14.4" x14ac:dyDescent="0.3"/>
  <sheetData>
    <row r="1" spans="1:75" x14ac:dyDescent="0.3">
      <c r="A1" s="42" t="s">
        <v>432</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row>
    <row r="2" spans="1:75" x14ac:dyDescent="0.3">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row>
    <row r="3" spans="1:75" x14ac:dyDescent="0.3">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row>
    <row r="4" spans="1:75" x14ac:dyDescent="0.3">
      <c r="A4" s="41"/>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row>
    <row r="5" spans="1:75" x14ac:dyDescent="0.3">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row>
    <row r="6" spans="1:75" x14ac:dyDescent="0.3">
      <c r="A6" s="4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row>
    <row r="7" spans="1:75" x14ac:dyDescent="0.3">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row>
    <row r="8" spans="1:75" x14ac:dyDescent="0.3">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row>
    <row r="9" spans="1:75" x14ac:dyDescent="0.3">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row>
    <row r="11" spans="1:75" x14ac:dyDescent="0.3">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row>
    <row r="12" spans="1:75" x14ac:dyDescent="0.3">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row>
    <row r="13" spans="1:75" x14ac:dyDescent="0.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row>
    <row r="14" spans="1:75" x14ac:dyDescent="0.3">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row>
    <row r="15" spans="1:75" x14ac:dyDescent="0.3">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row>
    <row r="16" spans="1:75" x14ac:dyDescent="0.3">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row>
    <row r="17" spans="1:75" x14ac:dyDescent="0.3">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row>
    <row r="18" spans="1:75" x14ac:dyDescent="0.3">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row>
    <row r="19" spans="1:75" x14ac:dyDescent="0.3">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row>
    <row r="20" spans="1:75" x14ac:dyDescent="0.3">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row>
    <row r="21" spans="1:75" x14ac:dyDescent="0.3">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row>
    <row r="22" spans="1:75" x14ac:dyDescent="0.3">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row>
    <row r="23" spans="1:75" x14ac:dyDescent="0.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row>
    <row r="24" spans="1:75" x14ac:dyDescent="0.3">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row>
    <row r="25" spans="1:75" x14ac:dyDescent="0.3">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row>
    <row r="26" spans="1:75" x14ac:dyDescent="0.3">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row>
    <row r="27" spans="1:75" x14ac:dyDescent="0.3">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row>
    <row r="28" spans="1:75" x14ac:dyDescent="0.3">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row>
    <row r="29" spans="1:75" x14ac:dyDescent="0.3">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row>
    <row r="30" spans="1:75" x14ac:dyDescent="0.3">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row>
    <row r="31" spans="1:75" x14ac:dyDescent="0.3">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row>
    <row r="32" spans="1:75" x14ac:dyDescent="0.3">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row>
    <row r="33" spans="1:75" x14ac:dyDescent="0.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row>
    <row r="34" spans="1:75" x14ac:dyDescent="0.3">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row>
    <row r="35" spans="1:75" x14ac:dyDescent="0.3">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row>
    <row r="36" spans="1:75" x14ac:dyDescent="0.3">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row>
    <row r="38" spans="1:75" x14ac:dyDescent="0.3">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row>
    <row r="39" spans="1:75" x14ac:dyDescent="0.3">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row>
    <row r="40" spans="1:75" x14ac:dyDescent="0.3">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row>
    <row r="41" spans="1:75" x14ac:dyDescent="0.3">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row>
    <row r="42" spans="1:75" x14ac:dyDescent="0.3">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row>
    <row r="43" spans="1:75" x14ac:dyDescent="0.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row>
    <row r="44" spans="1:75" x14ac:dyDescent="0.3">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row>
    <row r="45" spans="1:75" x14ac:dyDescent="0.3">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row>
    <row r="46" spans="1:75" x14ac:dyDescent="0.3">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row>
    <row r="47" spans="1:75" x14ac:dyDescent="0.3">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row>
    <row r="48" spans="1:75" x14ac:dyDescent="0.3">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row>
    <row r="49" spans="1:75" x14ac:dyDescent="0.3">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41"/>
      <c r="BV49" s="41"/>
      <c r="BW49" s="41"/>
    </row>
    <row r="50" spans="1:75" x14ac:dyDescent="0.3">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row>
    <row r="51" spans="1:75" x14ac:dyDescent="0.3">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row>
    <row r="52" spans="1:75" x14ac:dyDescent="0.3">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row>
    <row r="53" spans="1:75" x14ac:dyDescent="0.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row>
    <row r="54" spans="1:75" x14ac:dyDescent="0.3">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row>
    <row r="55" spans="1:75" x14ac:dyDescent="0.3">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row>
    <row r="56" spans="1:75" x14ac:dyDescent="0.3">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row>
    <row r="57" spans="1:75" x14ac:dyDescent="0.3">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row>
    <row r="58" spans="1:75" x14ac:dyDescent="0.3">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row>
    <row r="59" spans="1:75" x14ac:dyDescent="0.3">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row>
    <row r="60" spans="1:75" x14ac:dyDescent="0.3">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row>
    <row r="62" spans="1:75" x14ac:dyDescent="0.3">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row>
    <row r="63" spans="1:75" x14ac:dyDescent="0.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row>
    <row r="64" spans="1:75" x14ac:dyDescent="0.3">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row>
    <row r="65" spans="1:75" x14ac:dyDescent="0.3">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row>
    <row r="66" spans="1:75" x14ac:dyDescent="0.3">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row>
    <row r="67" spans="1:75" x14ac:dyDescent="0.3">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row>
    <row r="68" spans="1:75" x14ac:dyDescent="0.3">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row>
    <row r="69" spans="1:75" x14ac:dyDescent="0.3">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row>
    <row r="70" spans="1:75" x14ac:dyDescent="0.3">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row>
    <row r="71" spans="1:75" x14ac:dyDescent="0.3">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row>
    <row r="72" spans="1:75" x14ac:dyDescent="0.3">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row>
    <row r="73" spans="1:75" x14ac:dyDescent="0.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row>
    <row r="74" spans="1:75" x14ac:dyDescent="0.3">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row>
    <row r="75" spans="1:75" x14ac:dyDescent="0.3">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row>
    <row r="76" spans="1:75" x14ac:dyDescent="0.3">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row>
    <row r="77" spans="1:75" x14ac:dyDescent="0.3">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row>
    <row r="78" spans="1:75" x14ac:dyDescent="0.3">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row>
    <row r="79" spans="1:75" x14ac:dyDescent="0.3">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row>
    <row r="80" spans="1:75" x14ac:dyDescent="0.3">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row>
    <row r="81" spans="1:75" x14ac:dyDescent="0.3">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row>
    <row r="82" spans="1:75" x14ac:dyDescent="0.3">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row>
    <row r="83" spans="1:75" x14ac:dyDescent="0.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row>
    <row r="84" spans="1:75" x14ac:dyDescent="0.3">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row>
    <row r="85" spans="1:75" x14ac:dyDescent="0.3">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row>
    <row r="86" spans="1:75" x14ac:dyDescent="0.3">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row>
    <row r="87" spans="1:75" x14ac:dyDescent="0.3">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row>
    <row r="88" spans="1:75" x14ac:dyDescent="0.3">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row>
    <row r="89" spans="1:75" x14ac:dyDescent="0.3">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row>
    <row r="90" spans="1:75" x14ac:dyDescent="0.3">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row>
    <row r="92" spans="1:75" x14ac:dyDescent="0.3">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row>
    <row r="93" spans="1:75" x14ac:dyDescent="0.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row>
    <row r="94" spans="1:75" x14ac:dyDescent="0.3">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row>
    <row r="95" spans="1:75" x14ac:dyDescent="0.3">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row>
    <row r="96" spans="1:75" x14ac:dyDescent="0.3">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row>
    <row r="97" spans="1:75" x14ac:dyDescent="0.3">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c r="BS97" s="41"/>
      <c r="BT97" s="41"/>
      <c r="BU97" s="41"/>
      <c r="BV97" s="41"/>
      <c r="BW97" s="41"/>
    </row>
    <row r="98" spans="1:75" x14ac:dyDescent="0.3">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c r="BS98" s="41"/>
      <c r="BT98" s="41"/>
      <c r="BU98" s="41"/>
      <c r="BV98" s="41"/>
      <c r="BW98" s="41"/>
    </row>
    <row r="99" spans="1:75" x14ac:dyDescent="0.3">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row>
    <row r="100" spans="1:75" x14ac:dyDescent="0.3">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41"/>
      <c r="BV100" s="41"/>
      <c r="BW100" s="41"/>
    </row>
    <row r="101" spans="1:75" x14ac:dyDescent="0.3">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row>
    <row r="102" spans="1:75" x14ac:dyDescent="0.3">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row>
    <row r="103" spans="1:75" x14ac:dyDescent="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row>
    <row r="104" spans="1:75" x14ac:dyDescent="0.3">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row>
    <row r="105" spans="1:75" x14ac:dyDescent="0.3">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row>
    <row r="106" spans="1:75" x14ac:dyDescent="0.3">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41"/>
      <c r="BV106" s="41"/>
      <c r="BW106" s="41"/>
    </row>
    <row r="107" spans="1:75" x14ac:dyDescent="0.3">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41"/>
      <c r="BV107" s="41"/>
      <c r="BW107" s="41"/>
    </row>
    <row r="108" spans="1:75" x14ac:dyDescent="0.3">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row>
    <row r="109" spans="1:75" x14ac:dyDescent="0.3">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c r="BS109" s="41"/>
      <c r="BT109" s="41"/>
      <c r="BU109" s="41"/>
      <c r="BV109" s="41"/>
      <c r="BW109" s="41"/>
    </row>
    <row r="110" spans="1:75" x14ac:dyDescent="0.3">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1"/>
      <c r="BR110" s="41"/>
      <c r="BS110" s="41"/>
      <c r="BT110" s="41"/>
      <c r="BU110" s="41"/>
      <c r="BV110" s="41"/>
      <c r="BW110" s="41"/>
    </row>
    <row r="111" spans="1:75" x14ac:dyDescent="0.3">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1"/>
      <c r="BR111" s="41"/>
      <c r="BS111" s="41"/>
      <c r="BT111" s="41"/>
      <c r="BU111" s="41"/>
      <c r="BV111" s="41"/>
      <c r="BW111" s="41"/>
    </row>
    <row r="112" spans="1:75" x14ac:dyDescent="0.3">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1"/>
      <c r="BR112" s="41"/>
      <c r="BS112" s="41"/>
      <c r="BT112" s="41"/>
      <c r="BU112" s="41"/>
      <c r="BV112" s="41"/>
      <c r="BW112" s="41"/>
    </row>
    <row r="113" spans="1:75" x14ac:dyDescent="0.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c r="BW113" s="41"/>
    </row>
    <row r="114" spans="1:75" x14ac:dyDescent="0.3">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c r="BU114" s="41"/>
      <c r="BV114" s="41"/>
      <c r="BW114" s="41"/>
    </row>
    <row r="115" spans="1:75" x14ac:dyDescent="0.3">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c r="BS115" s="41"/>
      <c r="BT115" s="41"/>
      <c r="BU115" s="41"/>
      <c r="BV115" s="41"/>
      <c r="BW115" s="41"/>
    </row>
    <row r="116" spans="1:75" x14ac:dyDescent="0.3">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c r="BS116" s="41"/>
      <c r="BT116" s="41"/>
      <c r="BU116" s="41"/>
      <c r="BV116" s="41"/>
      <c r="BW116" s="41"/>
    </row>
    <row r="117" spans="1:75" x14ac:dyDescent="0.3">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row>
    <row r="118" spans="1:75" x14ac:dyDescent="0.3">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c r="BS118" s="41"/>
      <c r="BT118" s="41"/>
      <c r="BU118" s="41"/>
      <c r="BV118" s="41"/>
      <c r="BW118" s="41"/>
    </row>
    <row r="119" spans="1:75" x14ac:dyDescent="0.3">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row>
    <row r="120" spans="1:75" x14ac:dyDescent="0.3">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c r="BS120" s="41"/>
      <c r="BT120" s="41"/>
      <c r="BU120" s="41"/>
      <c r="BV120" s="41"/>
      <c r="BW120" s="41"/>
    </row>
    <row r="121" spans="1:75" x14ac:dyDescent="0.3">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c r="BS121" s="41"/>
      <c r="BT121" s="41"/>
      <c r="BU121" s="41"/>
      <c r="BV121" s="41"/>
      <c r="BW121" s="41"/>
    </row>
    <row r="122" spans="1:75" x14ac:dyDescent="0.3">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41"/>
      <c r="BV122" s="41"/>
      <c r="BW122" s="41"/>
    </row>
    <row r="123" spans="1:75" x14ac:dyDescent="0.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c r="BS123" s="41"/>
      <c r="BT123" s="41"/>
      <c r="BU123" s="41"/>
      <c r="BV123" s="41"/>
      <c r="BW123" s="41"/>
    </row>
    <row r="124" spans="1:75" x14ac:dyDescent="0.3">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row>
    <row r="125" spans="1:75" x14ac:dyDescent="0.3">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41"/>
      <c r="BV125" s="41"/>
      <c r="BW125" s="41"/>
    </row>
    <row r="126" spans="1:75" x14ac:dyDescent="0.3">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c r="BU126" s="41"/>
      <c r="BV126" s="41"/>
      <c r="BW126" s="41"/>
    </row>
    <row r="127" spans="1:75" x14ac:dyDescent="0.3">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c r="BS127" s="41"/>
      <c r="BT127" s="41"/>
      <c r="BU127" s="41"/>
      <c r="BV127" s="41"/>
      <c r="BW127" s="41"/>
    </row>
    <row r="128" spans="1:75" x14ac:dyDescent="0.3">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41"/>
      <c r="BV128" s="41"/>
      <c r="BW128" s="41"/>
    </row>
    <row r="129" spans="1:75" x14ac:dyDescent="0.3">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row>
    <row r="130" spans="1:75" x14ac:dyDescent="0.3">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1"/>
      <c r="BR130" s="41"/>
      <c r="BS130" s="41"/>
      <c r="BT130" s="41"/>
      <c r="BU130" s="41"/>
      <c r="BV130" s="41"/>
      <c r="BW130" s="41"/>
    </row>
    <row r="131" spans="1:75" x14ac:dyDescent="0.3">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1"/>
      <c r="BR131" s="41"/>
      <c r="BS131" s="41"/>
      <c r="BT131" s="41"/>
      <c r="BU131" s="41"/>
      <c r="BV131" s="41"/>
      <c r="BW131" s="41"/>
    </row>
    <row r="132" spans="1:75" x14ac:dyDescent="0.3">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1"/>
      <c r="BR132" s="41"/>
      <c r="BS132" s="41"/>
      <c r="BT132" s="41"/>
      <c r="BU132" s="41"/>
      <c r="BV132" s="41"/>
      <c r="BW132" s="41"/>
    </row>
    <row r="133" spans="1:75" x14ac:dyDescent="0.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c r="BS133" s="41"/>
      <c r="BT133" s="41"/>
      <c r="BU133" s="41"/>
      <c r="BV133" s="41"/>
      <c r="BW133" s="41"/>
    </row>
    <row r="134" spans="1:75" x14ac:dyDescent="0.3">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c r="BS134" s="41"/>
      <c r="BT134" s="41"/>
      <c r="BU134" s="41"/>
      <c r="BV134" s="41"/>
      <c r="BW134" s="41"/>
    </row>
    <row r="135" spans="1:75" x14ac:dyDescent="0.3">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c r="BU135" s="41"/>
      <c r="BV135" s="41"/>
      <c r="BW135" s="41"/>
    </row>
    <row r="136" spans="1:75" x14ac:dyDescent="0.3">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1"/>
      <c r="BR136" s="41"/>
      <c r="BS136" s="41"/>
      <c r="BT136" s="41"/>
      <c r="BU136" s="41"/>
      <c r="BV136" s="41"/>
      <c r="BW136" s="41"/>
    </row>
    <row r="137" spans="1:75" x14ac:dyDescent="0.3">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row>
    <row r="138" spans="1:75" x14ac:dyDescent="0.3">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c r="BU138" s="41"/>
      <c r="BV138" s="41"/>
      <c r="BW138" s="41"/>
    </row>
    <row r="139" spans="1:75" x14ac:dyDescent="0.3">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c r="BS139" s="41"/>
      <c r="BT139" s="41"/>
      <c r="BU139" s="41"/>
      <c r="BV139" s="41"/>
      <c r="BW139" s="41"/>
    </row>
    <row r="140" spans="1:75" x14ac:dyDescent="0.3">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c r="BS140" s="41"/>
      <c r="BT140" s="41"/>
      <c r="BU140" s="41"/>
      <c r="BV140" s="41"/>
      <c r="BW140" s="41"/>
    </row>
    <row r="141" spans="1:75" x14ac:dyDescent="0.3">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41"/>
      <c r="BV141" s="41"/>
      <c r="BW141" s="41"/>
    </row>
    <row r="142" spans="1:75" x14ac:dyDescent="0.3">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41"/>
      <c r="BV142" s="41"/>
      <c r="BW142" s="41"/>
    </row>
    <row r="143" spans="1:75" x14ac:dyDescent="0.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c r="BU143" s="41"/>
      <c r="BV143" s="41"/>
      <c r="BW143" s="41"/>
    </row>
    <row r="144" spans="1:75" x14ac:dyDescent="0.3">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41"/>
      <c r="BV144" s="41"/>
      <c r="BW144" s="41"/>
    </row>
    <row r="145" spans="1:75" x14ac:dyDescent="0.3">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41"/>
      <c r="BV145" s="41"/>
      <c r="BW145" s="41"/>
    </row>
    <row r="146" spans="1:75" x14ac:dyDescent="0.3">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row>
    <row r="147" spans="1:75" x14ac:dyDescent="0.3">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41"/>
      <c r="BV147" s="41"/>
      <c r="BW147" s="41"/>
    </row>
    <row r="148" spans="1:75" x14ac:dyDescent="0.3">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row>
    <row r="149" spans="1:75" x14ac:dyDescent="0.3">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41"/>
      <c r="BV149" s="41"/>
      <c r="BW149" s="41"/>
    </row>
    <row r="150" spans="1:75" x14ac:dyDescent="0.3">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c r="BU150" s="41"/>
      <c r="BV150" s="41"/>
      <c r="BW150" s="41"/>
    </row>
    <row r="151" spans="1:75" x14ac:dyDescent="0.3">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c r="BU151" s="41"/>
      <c r="BV151" s="41"/>
      <c r="BW151" s="41"/>
    </row>
    <row r="152" spans="1:75" x14ac:dyDescent="0.3">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c r="BU152" s="41"/>
      <c r="BV152" s="41"/>
      <c r="BW152" s="41"/>
    </row>
    <row r="153" spans="1:75" x14ac:dyDescent="0.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41"/>
      <c r="BV153" s="41"/>
      <c r="BW153" s="41"/>
    </row>
    <row r="154" spans="1:75" x14ac:dyDescent="0.3">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row>
    <row r="155" spans="1:75" x14ac:dyDescent="0.3">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row>
    <row r="156" spans="1:75" x14ac:dyDescent="0.3">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row>
    <row r="157" spans="1:75" x14ac:dyDescent="0.3">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c r="BU157" s="41"/>
      <c r="BV157" s="41"/>
      <c r="BW157" s="41"/>
    </row>
    <row r="158" spans="1:75" x14ac:dyDescent="0.3">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c r="BJ158" s="41"/>
      <c r="BK158" s="41"/>
      <c r="BL158" s="41"/>
      <c r="BM158" s="41"/>
      <c r="BN158" s="41"/>
      <c r="BO158" s="41"/>
      <c r="BP158" s="41"/>
      <c r="BQ158" s="41"/>
      <c r="BR158" s="41"/>
      <c r="BS158" s="41"/>
      <c r="BT158" s="41"/>
      <c r="BU158" s="41"/>
      <c r="BV158" s="41"/>
      <c r="BW158" s="41"/>
    </row>
    <row r="159" spans="1:75" x14ac:dyDescent="0.3">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c r="BS159" s="41"/>
      <c r="BT159" s="41"/>
      <c r="BU159" s="41"/>
      <c r="BV159" s="41"/>
      <c r="BW159" s="41"/>
    </row>
    <row r="160" spans="1:75" x14ac:dyDescent="0.3">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c r="BU160" s="41"/>
      <c r="BV160" s="41"/>
      <c r="BW160" s="41"/>
    </row>
    <row r="161" spans="1:75" x14ac:dyDescent="0.3">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c r="BS161" s="41"/>
      <c r="BT161" s="41"/>
      <c r="BU161" s="41"/>
      <c r="BV161" s="41"/>
      <c r="BW161" s="41"/>
    </row>
    <row r="162" spans="1:75" x14ac:dyDescent="0.3">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c r="BS162" s="41"/>
      <c r="BT162" s="41"/>
      <c r="BU162" s="41"/>
      <c r="BV162" s="41"/>
      <c r="BW162" s="41"/>
    </row>
    <row r="163" spans="1:75" x14ac:dyDescent="0.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c r="BS163" s="41"/>
      <c r="BT163" s="41"/>
      <c r="BU163" s="41"/>
      <c r="BV163" s="41"/>
      <c r="BW163" s="41"/>
    </row>
    <row r="164" spans="1:75" x14ac:dyDescent="0.3">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c r="BS164" s="41"/>
      <c r="BT164" s="41"/>
      <c r="BU164" s="41"/>
      <c r="BV164" s="41"/>
      <c r="BW164" s="41"/>
    </row>
    <row r="165" spans="1:75" x14ac:dyDescent="0.3">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c r="BJ165" s="41"/>
      <c r="BK165" s="41"/>
      <c r="BL165" s="41"/>
      <c r="BM165" s="41"/>
      <c r="BN165" s="41"/>
      <c r="BO165" s="41"/>
      <c r="BP165" s="41"/>
      <c r="BQ165" s="41"/>
      <c r="BR165" s="41"/>
      <c r="BS165" s="41"/>
      <c r="BT165" s="41"/>
      <c r="BU165" s="41"/>
      <c r="BV165" s="41"/>
      <c r="BW165" s="41"/>
    </row>
    <row r="166" spans="1:75" x14ac:dyDescent="0.3">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c r="BJ166" s="41"/>
      <c r="BK166" s="41"/>
      <c r="BL166" s="41"/>
      <c r="BM166" s="41"/>
      <c r="BN166" s="41"/>
      <c r="BO166" s="41"/>
      <c r="BP166" s="41"/>
      <c r="BQ166" s="41"/>
      <c r="BR166" s="41"/>
      <c r="BS166" s="41"/>
      <c r="BT166" s="41"/>
      <c r="BU166" s="41"/>
      <c r="BV166" s="41"/>
      <c r="BW166" s="41"/>
    </row>
    <row r="167" spans="1:75" x14ac:dyDescent="0.3">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c r="BJ167" s="41"/>
      <c r="BK167" s="41"/>
      <c r="BL167" s="41"/>
      <c r="BM167" s="41"/>
      <c r="BN167" s="41"/>
      <c r="BO167" s="41"/>
      <c r="BP167" s="41"/>
      <c r="BQ167" s="41"/>
      <c r="BR167" s="41"/>
      <c r="BS167" s="41"/>
      <c r="BT167" s="41"/>
      <c r="BU167" s="41"/>
      <c r="BV167" s="41"/>
      <c r="BW167" s="41"/>
    </row>
    <row r="168" spans="1:75" x14ac:dyDescent="0.3">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row>
    <row r="169" spans="1:75" x14ac:dyDescent="0.3">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c r="BS169" s="41"/>
      <c r="BT169" s="41"/>
      <c r="BU169" s="41"/>
      <c r="BV169" s="41"/>
      <c r="BW169" s="41"/>
    </row>
    <row r="170" spans="1:75" x14ac:dyDescent="0.3">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c r="BJ170" s="41"/>
      <c r="BK170" s="41"/>
      <c r="BL170" s="41"/>
      <c r="BM170" s="41"/>
      <c r="BN170" s="41"/>
      <c r="BO170" s="41"/>
      <c r="BP170" s="41"/>
      <c r="BQ170" s="41"/>
      <c r="BR170" s="41"/>
      <c r="BS170" s="41"/>
      <c r="BT170" s="41"/>
      <c r="BU170" s="41"/>
      <c r="BV170" s="41"/>
      <c r="BW170" s="41"/>
    </row>
    <row r="171" spans="1:75" x14ac:dyDescent="0.3">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c r="BJ171" s="41"/>
      <c r="BK171" s="41"/>
      <c r="BL171" s="41"/>
      <c r="BM171" s="41"/>
      <c r="BN171" s="41"/>
      <c r="BO171" s="41"/>
      <c r="BP171" s="41"/>
      <c r="BQ171" s="41"/>
      <c r="BR171" s="41"/>
      <c r="BS171" s="41"/>
      <c r="BT171" s="41"/>
      <c r="BU171" s="41"/>
      <c r="BV171" s="41"/>
      <c r="BW171" s="41"/>
    </row>
    <row r="172" spans="1:75" x14ac:dyDescent="0.3">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c r="BJ172" s="41"/>
      <c r="BK172" s="41"/>
      <c r="BL172" s="41"/>
      <c r="BM172" s="41"/>
      <c r="BN172" s="41"/>
      <c r="BO172" s="41"/>
      <c r="BP172" s="41"/>
      <c r="BQ172" s="41"/>
      <c r="BR172" s="41"/>
      <c r="BS172" s="41"/>
      <c r="BT172" s="41"/>
      <c r="BU172" s="41"/>
      <c r="BV172" s="41"/>
      <c r="BW172" s="41"/>
    </row>
    <row r="173" spans="1:75" x14ac:dyDescent="0.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c r="BJ173" s="41"/>
      <c r="BK173" s="41"/>
      <c r="BL173" s="41"/>
      <c r="BM173" s="41"/>
      <c r="BN173" s="41"/>
      <c r="BO173" s="41"/>
      <c r="BP173" s="41"/>
      <c r="BQ173" s="41"/>
      <c r="BR173" s="41"/>
      <c r="BS173" s="41"/>
      <c r="BT173" s="41"/>
      <c r="BU173" s="41"/>
      <c r="BV173" s="41"/>
      <c r="BW173" s="41"/>
    </row>
    <row r="174" spans="1:75" x14ac:dyDescent="0.3">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c r="BJ174" s="41"/>
      <c r="BK174" s="41"/>
      <c r="BL174" s="41"/>
      <c r="BM174" s="41"/>
      <c r="BN174" s="41"/>
      <c r="BO174" s="41"/>
      <c r="BP174" s="41"/>
      <c r="BQ174" s="41"/>
      <c r="BR174" s="41"/>
      <c r="BS174" s="41"/>
      <c r="BT174" s="41"/>
      <c r="BU174" s="41"/>
      <c r="BV174" s="41"/>
      <c r="BW174" s="41"/>
    </row>
    <row r="175" spans="1:75" x14ac:dyDescent="0.3">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c r="BJ175" s="41"/>
      <c r="BK175" s="41"/>
      <c r="BL175" s="41"/>
      <c r="BM175" s="41"/>
      <c r="BN175" s="41"/>
      <c r="BO175" s="41"/>
      <c r="BP175" s="41"/>
      <c r="BQ175" s="41"/>
      <c r="BR175" s="41"/>
      <c r="BS175" s="41"/>
      <c r="BT175" s="41"/>
      <c r="BU175" s="41"/>
      <c r="BV175" s="41"/>
      <c r="BW175" s="41"/>
    </row>
    <row r="176" spans="1:75" x14ac:dyDescent="0.3">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c r="BJ176" s="41"/>
      <c r="BK176" s="41"/>
      <c r="BL176" s="41"/>
      <c r="BM176" s="41"/>
      <c r="BN176" s="41"/>
      <c r="BO176" s="41"/>
      <c r="BP176" s="41"/>
      <c r="BQ176" s="41"/>
      <c r="BR176" s="41"/>
      <c r="BS176" s="41"/>
      <c r="BT176" s="41"/>
      <c r="BU176" s="41"/>
      <c r="BV176" s="41"/>
      <c r="BW176" s="41"/>
    </row>
    <row r="177" spans="1:75" x14ac:dyDescent="0.3">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c r="BJ177" s="41"/>
      <c r="BK177" s="41"/>
      <c r="BL177" s="41"/>
      <c r="BM177" s="41"/>
      <c r="BN177" s="41"/>
      <c r="BO177" s="41"/>
      <c r="BP177" s="41"/>
      <c r="BQ177" s="41"/>
      <c r="BR177" s="41"/>
      <c r="BS177" s="41"/>
      <c r="BT177" s="41"/>
      <c r="BU177" s="41"/>
      <c r="BV177" s="41"/>
      <c r="BW177" s="41"/>
    </row>
    <row r="178" spans="1:75" x14ac:dyDescent="0.3">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c r="BJ178" s="41"/>
      <c r="BK178" s="41"/>
      <c r="BL178" s="41"/>
      <c r="BM178" s="41"/>
      <c r="BN178" s="41"/>
      <c r="BO178" s="41"/>
      <c r="BP178" s="41"/>
      <c r="BQ178" s="41"/>
      <c r="BR178" s="41"/>
      <c r="BS178" s="41"/>
      <c r="BT178" s="41"/>
      <c r="BU178" s="41"/>
      <c r="BV178" s="41"/>
      <c r="BW178" s="41"/>
    </row>
    <row r="179" spans="1:75" x14ac:dyDescent="0.3">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c r="BJ179" s="41"/>
      <c r="BK179" s="41"/>
      <c r="BL179" s="41"/>
      <c r="BM179" s="41"/>
      <c r="BN179" s="41"/>
      <c r="BO179" s="41"/>
      <c r="BP179" s="41"/>
      <c r="BQ179" s="41"/>
      <c r="BR179" s="41"/>
      <c r="BS179" s="41"/>
      <c r="BT179" s="41"/>
      <c r="BU179" s="41"/>
      <c r="BV179" s="41"/>
      <c r="BW179" s="41"/>
    </row>
    <row r="180" spans="1:75" x14ac:dyDescent="0.3">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c r="BJ180" s="41"/>
      <c r="BK180" s="41"/>
      <c r="BL180" s="41"/>
      <c r="BM180" s="41"/>
      <c r="BN180" s="41"/>
      <c r="BO180" s="41"/>
      <c r="BP180" s="41"/>
      <c r="BQ180" s="41"/>
      <c r="BR180" s="41"/>
      <c r="BS180" s="41"/>
      <c r="BT180" s="41"/>
      <c r="BU180" s="41"/>
      <c r="BV180" s="41"/>
      <c r="BW180" s="41"/>
    </row>
    <row r="181" spans="1:75" x14ac:dyDescent="0.3">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c r="BJ181" s="41"/>
      <c r="BK181" s="41"/>
      <c r="BL181" s="41"/>
      <c r="BM181" s="41"/>
      <c r="BN181" s="41"/>
      <c r="BO181" s="41"/>
      <c r="BP181" s="41"/>
      <c r="BQ181" s="41"/>
      <c r="BR181" s="41"/>
      <c r="BS181" s="41"/>
      <c r="BT181" s="41"/>
      <c r="BU181" s="41"/>
      <c r="BV181" s="41"/>
      <c r="BW181" s="41"/>
    </row>
    <row r="182" spans="1:75" x14ac:dyDescent="0.3">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c r="BJ182" s="41"/>
      <c r="BK182" s="41"/>
      <c r="BL182" s="41"/>
      <c r="BM182" s="41"/>
      <c r="BN182" s="41"/>
      <c r="BO182" s="41"/>
      <c r="BP182" s="41"/>
      <c r="BQ182" s="41"/>
      <c r="BR182" s="41"/>
      <c r="BS182" s="41"/>
      <c r="BT182" s="41"/>
      <c r="BU182" s="41"/>
      <c r="BV182" s="41"/>
      <c r="BW182" s="41"/>
    </row>
    <row r="183" spans="1:75" x14ac:dyDescent="0.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c r="BJ183" s="41"/>
      <c r="BK183" s="41"/>
      <c r="BL183" s="41"/>
      <c r="BM183" s="41"/>
      <c r="BN183" s="41"/>
      <c r="BO183" s="41"/>
      <c r="BP183" s="41"/>
      <c r="BQ183" s="41"/>
      <c r="BR183" s="41"/>
      <c r="BS183" s="41"/>
      <c r="BT183" s="41"/>
      <c r="BU183" s="41"/>
      <c r="BV183" s="41"/>
      <c r="BW183" s="41"/>
    </row>
    <row r="184" spans="1:75" x14ac:dyDescent="0.3">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c r="BJ184" s="41"/>
      <c r="BK184" s="41"/>
      <c r="BL184" s="41"/>
      <c r="BM184" s="41"/>
      <c r="BN184" s="41"/>
      <c r="BO184" s="41"/>
      <c r="BP184" s="41"/>
      <c r="BQ184" s="41"/>
      <c r="BR184" s="41"/>
      <c r="BS184" s="41"/>
      <c r="BT184" s="41"/>
      <c r="BU184" s="41"/>
      <c r="BV184" s="41"/>
      <c r="BW184" s="41"/>
    </row>
    <row r="185" spans="1:75" x14ac:dyDescent="0.3">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c r="BJ185" s="41"/>
      <c r="BK185" s="41"/>
      <c r="BL185" s="41"/>
      <c r="BM185" s="41"/>
      <c r="BN185" s="41"/>
      <c r="BO185" s="41"/>
      <c r="BP185" s="41"/>
      <c r="BQ185" s="41"/>
      <c r="BR185" s="41"/>
      <c r="BS185" s="41"/>
      <c r="BT185" s="41"/>
      <c r="BU185" s="41"/>
      <c r="BV185" s="41"/>
      <c r="BW185" s="41"/>
    </row>
    <row r="186" spans="1:75" x14ac:dyDescent="0.3">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c r="BJ186" s="41"/>
      <c r="BK186" s="41"/>
      <c r="BL186" s="41"/>
      <c r="BM186" s="41"/>
      <c r="BN186" s="41"/>
      <c r="BO186" s="41"/>
      <c r="BP186" s="41"/>
      <c r="BQ186" s="41"/>
      <c r="BR186" s="41"/>
      <c r="BS186" s="41"/>
      <c r="BT186" s="41"/>
      <c r="BU186" s="41"/>
      <c r="BV186" s="41"/>
      <c r="BW186" s="41"/>
    </row>
    <row r="187" spans="1:75" x14ac:dyDescent="0.3">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c r="BJ187" s="41"/>
      <c r="BK187" s="41"/>
      <c r="BL187" s="41"/>
      <c r="BM187" s="41"/>
      <c r="BN187" s="41"/>
      <c r="BO187" s="41"/>
      <c r="BP187" s="41"/>
      <c r="BQ187" s="41"/>
      <c r="BR187" s="41"/>
      <c r="BS187" s="41"/>
      <c r="BT187" s="41"/>
      <c r="BU187" s="41"/>
      <c r="BV187" s="41"/>
      <c r="BW187" s="41"/>
    </row>
    <row r="188" spans="1:75" x14ac:dyDescent="0.3">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c r="BJ188" s="41"/>
      <c r="BK188" s="41"/>
      <c r="BL188" s="41"/>
      <c r="BM188" s="41"/>
      <c r="BN188" s="41"/>
      <c r="BO188" s="41"/>
      <c r="BP188" s="41"/>
      <c r="BQ188" s="41"/>
      <c r="BR188" s="41"/>
      <c r="BS188" s="41"/>
      <c r="BT188" s="41"/>
      <c r="BU188" s="41"/>
      <c r="BV188" s="41"/>
      <c r="BW188" s="41"/>
    </row>
    <row r="189" spans="1:75" x14ac:dyDescent="0.3">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c r="BJ189" s="41"/>
      <c r="BK189" s="41"/>
      <c r="BL189" s="41"/>
      <c r="BM189" s="41"/>
      <c r="BN189" s="41"/>
      <c r="BO189" s="41"/>
      <c r="BP189" s="41"/>
      <c r="BQ189" s="41"/>
      <c r="BR189" s="41"/>
      <c r="BS189" s="41"/>
      <c r="BT189" s="41"/>
      <c r="BU189" s="41"/>
      <c r="BV189" s="41"/>
      <c r="BW189" s="41"/>
    </row>
    <row r="190" spans="1:75" x14ac:dyDescent="0.3">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row>
    <row r="191" spans="1:75" x14ac:dyDescent="0.3">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c r="BJ191" s="41"/>
      <c r="BK191" s="41"/>
      <c r="BL191" s="41"/>
      <c r="BM191" s="41"/>
      <c r="BN191" s="41"/>
      <c r="BO191" s="41"/>
      <c r="BP191" s="41"/>
      <c r="BQ191" s="41"/>
      <c r="BR191" s="41"/>
      <c r="BS191" s="41"/>
      <c r="BT191" s="41"/>
      <c r="BU191" s="41"/>
      <c r="BV191" s="41"/>
      <c r="BW191" s="41"/>
    </row>
    <row r="192" spans="1:75" x14ac:dyDescent="0.3">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c r="BS192" s="41"/>
      <c r="BT192" s="41"/>
      <c r="BU192" s="41"/>
      <c r="BV192" s="41"/>
      <c r="BW192" s="41"/>
    </row>
    <row r="193" spans="1:75" x14ac:dyDescent="0.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c r="BJ193" s="41"/>
      <c r="BK193" s="41"/>
      <c r="BL193" s="41"/>
      <c r="BM193" s="41"/>
      <c r="BN193" s="41"/>
      <c r="BO193" s="41"/>
      <c r="BP193" s="41"/>
      <c r="BQ193" s="41"/>
      <c r="BR193" s="41"/>
      <c r="BS193" s="41"/>
      <c r="BT193" s="41"/>
      <c r="BU193" s="41"/>
      <c r="BV193" s="41"/>
      <c r="BW193" s="41"/>
    </row>
    <row r="194" spans="1:75" x14ac:dyDescent="0.3">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c r="BS194" s="41"/>
      <c r="BT194" s="41"/>
      <c r="BU194" s="41"/>
      <c r="BV194" s="41"/>
      <c r="BW194" s="41"/>
    </row>
    <row r="195" spans="1:75" x14ac:dyDescent="0.3">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c r="BJ195" s="41"/>
      <c r="BK195" s="41"/>
      <c r="BL195" s="41"/>
      <c r="BM195" s="41"/>
      <c r="BN195" s="41"/>
      <c r="BO195" s="41"/>
      <c r="BP195" s="41"/>
      <c r="BQ195" s="41"/>
      <c r="BR195" s="41"/>
      <c r="BS195" s="41"/>
      <c r="BT195" s="41"/>
      <c r="BU195" s="41"/>
      <c r="BV195" s="41"/>
      <c r="BW195" s="41"/>
    </row>
    <row r="196" spans="1:75" x14ac:dyDescent="0.3">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c r="BJ196" s="41"/>
      <c r="BK196" s="41"/>
      <c r="BL196" s="41"/>
      <c r="BM196" s="41"/>
      <c r="BN196" s="41"/>
      <c r="BO196" s="41"/>
      <c r="BP196" s="41"/>
      <c r="BQ196" s="41"/>
      <c r="BR196" s="41"/>
      <c r="BS196" s="41"/>
      <c r="BT196" s="41"/>
      <c r="BU196" s="41"/>
      <c r="BV196" s="41"/>
      <c r="BW196" s="41"/>
    </row>
    <row r="197" spans="1:75" x14ac:dyDescent="0.3">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c r="BJ197" s="41"/>
      <c r="BK197" s="41"/>
      <c r="BL197" s="41"/>
      <c r="BM197" s="41"/>
      <c r="BN197" s="41"/>
      <c r="BO197" s="41"/>
      <c r="BP197" s="41"/>
      <c r="BQ197" s="41"/>
      <c r="BR197" s="41"/>
      <c r="BS197" s="41"/>
      <c r="BT197" s="41"/>
      <c r="BU197" s="41"/>
      <c r="BV197" s="41"/>
      <c r="BW197" s="41"/>
    </row>
    <row r="198" spans="1:75" x14ac:dyDescent="0.3">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c r="BS198" s="41"/>
      <c r="BT198" s="41"/>
      <c r="BU198" s="41"/>
      <c r="BV198" s="41"/>
      <c r="BW198" s="41"/>
    </row>
    <row r="199" spans="1:75" x14ac:dyDescent="0.3">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c r="BJ199" s="41"/>
      <c r="BK199" s="41"/>
      <c r="BL199" s="41"/>
      <c r="BM199" s="41"/>
      <c r="BN199" s="41"/>
      <c r="BO199" s="41"/>
      <c r="BP199" s="41"/>
      <c r="BQ199" s="41"/>
      <c r="BR199" s="41"/>
      <c r="BS199" s="41"/>
      <c r="BT199" s="41"/>
      <c r="BU199" s="41"/>
      <c r="BV199" s="41"/>
      <c r="BW199" s="41"/>
    </row>
    <row r="200" spans="1:75" x14ac:dyDescent="0.3">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c r="BJ200" s="41"/>
      <c r="BK200" s="41"/>
      <c r="BL200" s="41"/>
      <c r="BM200" s="41"/>
      <c r="BN200" s="41"/>
      <c r="BO200" s="41"/>
      <c r="BP200" s="41"/>
      <c r="BQ200" s="41"/>
      <c r="BR200" s="41"/>
      <c r="BS200" s="41"/>
      <c r="BT200" s="41"/>
      <c r="BU200" s="41"/>
      <c r="BV200" s="41"/>
      <c r="BW200" s="41"/>
    </row>
    <row r="201" spans="1:75" x14ac:dyDescent="0.3">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c r="BS201" s="41"/>
      <c r="BT201" s="41"/>
      <c r="BU201" s="41"/>
      <c r="BV201" s="41"/>
      <c r="BW201" s="41"/>
    </row>
    <row r="202" spans="1:75" x14ac:dyDescent="0.3">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c r="BJ202" s="41"/>
      <c r="BK202" s="41"/>
      <c r="BL202" s="41"/>
      <c r="BM202" s="41"/>
      <c r="BN202" s="41"/>
      <c r="BO202" s="41"/>
      <c r="BP202" s="41"/>
      <c r="BQ202" s="41"/>
      <c r="BR202" s="41"/>
      <c r="BS202" s="41"/>
      <c r="BT202" s="41"/>
      <c r="BU202" s="41"/>
      <c r="BV202" s="41"/>
      <c r="BW202" s="41"/>
    </row>
    <row r="203" spans="1:75" x14ac:dyDescent="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c r="BJ203" s="41"/>
      <c r="BK203" s="41"/>
      <c r="BL203" s="41"/>
      <c r="BM203" s="41"/>
      <c r="BN203" s="41"/>
      <c r="BO203" s="41"/>
      <c r="BP203" s="41"/>
      <c r="BQ203" s="41"/>
      <c r="BR203" s="41"/>
      <c r="BS203" s="41"/>
      <c r="BT203" s="41"/>
      <c r="BU203" s="41"/>
      <c r="BV203" s="41"/>
      <c r="BW203" s="41"/>
    </row>
    <row r="204" spans="1:75" x14ac:dyDescent="0.3">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c r="BJ204" s="41"/>
      <c r="BK204" s="41"/>
      <c r="BL204" s="41"/>
      <c r="BM204" s="41"/>
      <c r="BN204" s="41"/>
      <c r="BO204" s="41"/>
      <c r="BP204" s="41"/>
      <c r="BQ204" s="41"/>
      <c r="BR204" s="41"/>
      <c r="BS204" s="41"/>
      <c r="BT204" s="41"/>
      <c r="BU204" s="41"/>
      <c r="BV204" s="41"/>
      <c r="BW204" s="41"/>
    </row>
    <row r="205" spans="1:75" x14ac:dyDescent="0.3">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c r="BJ205" s="41"/>
      <c r="BK205" s="41"/>
      <c r="BL205" s="41"/>
      <c r="BM205" s="41"/>
      <c r="BN205" s="41"/>
      <c r="BO205" s="41"/>
      <c r="BP205" s="41"/>
      <c r="BQ205" s="41"/>
      <c r="BR205" s="41"/>
      <c r="BS205" s="41"/>
      <c r="BT205" s="41"/>
      <c r="BU205" s="41"/>
      <c r="BV205" s="41"/>
      <c r="BW205" s="41"/>
    </row>
    <row r="206" spans="1:75" x14ac:dyDescent="0.3">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c r="BS206" s="41"/>
      <c r="BT206" s="41"/>
      <c r="BU206" s="41"/>
      <c r="BV206" s="41"/>
      <c r="BW206" s="41"/>
    </row>
    <row r="207" spans="1:75" x14ac:dyDescent="0.3">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c r="BS207" s="41"/>
      <c r="BT207" s="41"/>
      <c r="BU207" s="41"/>
      <c r="BV207" s="41"/>
      <c r="BW207" s="41"/>
    </row>
    <row r="208" spans="1:75" x14ac:dyDescent="0.3">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c r="BJ208" s="41"/>
      <c r="BK208" s="41"/>
      <c r="BL208" s="41"/>
      <c r="BM208" s="41"/>
      <c r="BN208" s="41"/>
      <c r="BO208" s="41"/>
      <c r="BP208" s="41"/>
      <c r="BQ208" s="41"/>
      <c r="BR208" s="41"/>
      <c r="BS208" s="41"/>
      <c r="BT208" s="41"/>
      <c r="BU208" s="41"/>
      <c r="BV208" s="41"/>
      <c r="BW208" s="41"/>
    </row>
    <row r="209" spans="1:75" x14ac:dyDescent="0.3">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c r="BJ209" s="41"/>
      <c r="BK209" s="41"/>
      <c r="BL209" s="41"/>
      <c r="BM209" s="41"/>
      <c r="BN209" s="41"/>
      <c r="BO209" s="41"/>
      <c r="BP209" s="41"/>
      <c r="BQ209" s="41"/>
      <c r="BR209" s="41"/>
      <c r="BS209" s="41"/>
      <c r="BT209" s="41"/>
      <c r="BU209" s="41"/>
      <c r="BV209" s="41"/>
      <c r="BW209" s="41"/>
    </row>
    <row r="210" spans="1:75" x14ac:dyDescent="0.3">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c r="BS210" s="41"/>
      <c r="BT210" s="41"/>
      <c r="BU210" s="41"/>
      <c r="BV210" s="41"/>
      <c r="BW210" s="41"/>
    </row>
    <row r="211" spans="1:75" x14ac:dyDescent="0.3">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c r="BS211" s="41"/>
      <c r="BT211" s="41"/>
      <c r="BU211" s="41"/>
      <c r="BV211" s="41"/>
      <c r="BW211" s="41"/>
    </row>
    <row r="212" spans="1:75" x14ac:dyDescent="0.3">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row>
    <row r="213" spans="1:75" x14ac:dyDescent="0.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c r="BJ213" s="41"/>
      <c r="BK213" s="41"/>
      <c r="BL213" s="41"/>
      <c r="BM213" s="41"/>
      <c r="BN213" s="41"/>
      <c r="BO213" s="41"/>
      <c r="BP213" s="41"/>
      <c r="BQ213" s="41"/>
      <c r="BR213" s="41"/>
      <c r="BS213" s="41"/>
      <c r="BT213" s="41"/>
      <c r="BU213" s="41"/>
      <c r="BV213" s="41"/>
      <c r="BW213" s="41"/>
    </row>
    <row r="214" spans="1:75" x14ac:dyDescent="0.3">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c r="BJ214" s="41"/>
      <c r="BK214" s="41"/>
      <c r="BL214" s="41"/>
      <c r="BM214" s="41"/>
      <c r="BN214" s="41"/>
      <c r="BO214" s="41"/>
      <c r="BP214" s="41"/>
      <c r="BQ214" s="41"/>
      <c r="BR214" s="41"/>
      <c r="BS214" s="41"/>
      <c r="BT214" s="41"/>
      <c r="BU214" s="41"/>
      <c r="BV214" s="41"/>
      <c r="BW214" s="41"/>
    </row>
    <row r="215" spans="1:75" x14ac:dyDescent="0.3">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c r="BJ215" s="41"/>
      <c r="BK215" s="41"/>
      <c r="BL215" s="41"/>
      <c r="BM215" s="41"/>
      <c r="BN215" s="41"/>
      <c r="BO215" s="41"/>
      <c r="BP215" s="41"/>
      <c r="BQ215" s="41"/>
      <c r="BR215" s="41"/>
      <c r="BS215" s="41"/>
      <c r="BT215" s="41"/>
      <c r="BU215" s="41"/>
      <c r="BV215" s="41"/>
      <c r="BW215" s="41"/>
    </row>
    <row r="216" spans="1:75" x14ac:dyDescent="0.3">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c r="BS216" s="41"/>
      <c r="BT216" s="41"/>
      <c r="BU216" s="41"/>
      <c r="BV216" s="41"/>
      <c r="BW216" s="41"/>
    </row>
    <row r="217" spans="1:75" x14ac:dyDescent="0.3">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c r="BJ217" s="41"/>
      <c r="BK217" s="41"/>
      <c r="BL217" s="41"/>
      <c r="BM217" s="41"/>
      <c r="BN217" s="41"/>
      <c r="BO217" s="41"/>
      <c r="BP217" s="41"/>
      <c r="BQ217" s="41"/>
      <c r="BR217" s="41"/>
      <c r="BS217" s="41"/>
      <c r="BT217" s="41"/>
      <c r="BU217" s="41"/>
      <c r="BV217" s="41"/>
      <c r="BW217" s="41"/>
    </row>
    <row r="218" spans="1:75" x14ac:dyDescent="0.3">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c r="BJ218" s="41"/>
      <c r="BK218" s="41"/>
      <c r="BL218" s="41"/>
      <c r="BM218" s="41"/>
      <c r="BN218" s="41"/>
      <c r="BO218" s="41"/>
      <c r="BP218" s="41"/>
      <c r="BQ218" s="41"/>
      <c r="BR218" s="41"/>
      <c r="BS218" s="41"/>
      <c r="BT218" s="41"/>
      <c r="BU218" s="41"/>
      <c r="BV218" s="41"/>
      <c r="BW218" s="41"/>
    </row>
    <row r="219" spans="1:75" x14ac:dyDescent="0.3">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c r="BJ219" s="41"/>
      <c r="BK219" s="41"/>
      <c r="BL219" s="41"/>
      <c r="BM219" s="41"/>
      <c r="BN219" s="41"/>
      <c r="BO219" s="41"/>
      <c r="BP219" s="41"/>
      <c r="BQ219" s="41"/>
      <c r="BR219" s="41"/>
      <c r="BS219" s="41"/>
      <c r="BT219" s="41"/>
      <c r="BU219" s="41"/>
      <c r="BV219" s="41"/>
      <c r="BW219" s="41"/>
    </row>
    <row r="220" spans="1:75" x14ac:dyDescent="0.3">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c r="BJ220" s="41"/>
      <c r="BK220" s="41"/>
      <c r="BL220" s="41"/>
      <c r="BM220" s="41"/>
      <c r="BN220" s="41"/>
      <c r="BO220" s="41"/>
      <c r="BP220" s="41"/>
      <c r="BQ220" s="41"/>
      <c r="BR220" s="41"/>
      <c r="BS220" s="41"/>
      <c r="BT220" s="41"/>
      <c r="BU220" s="41"/>
      <c r="BV220" s="41"/>
      <c r="BW220" s="41"/>
    </row>
    <row r="221" spans="1:75" x14ac:dyDescent="0.3">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c r="BJ221" s="41"/>
      <c r="BK221" s="41"/>
      <c r="BL221" s="41"/>
      <c r="BM221" s="41"/>
      <c r="BN221" s="41"/>
      <c r="BO221" s="41"/>
      <c r="BP221" s="41"/>
      <c r="BQ221" s="41"/>
      <c r="BR221" s="41"/>
      <c r="BS221" s="41"/>
      <c r="BT221" s="41"/>
      <c r="BU221" s="41"/>
      <c r="BV221" s="41"/>
      <c r="BW221" s="41"/>
    </row>
    <row r="222" spans="1:75" x14ac:dyDescent="0.3">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c r="BJ222" s="41"/>
      <c r="BK222" s="41"/>
      <c r="BL222" s="41"/>
      <c r="BM222" s="41"/>
      <c r="BN222" s="41"/>
      <c r="BO222" s="41"/>
      <c r="BP222" s="41"/>
      <c r="BQ222" s="41"/>
      <c r="BR222" s="41"/>
      <c r="BS222" s="41"/>
      <c r="BT222" s="41"/>
      <c r="BU222" s="41"/>
      <c r="BV222" s="41"/>
      <c r="BW222" s="41"/>
    </row>
    <row r="223" spans="1:75" x14ac:dyDescent="0.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c r="BS223" s="41"/>
      <c r="BT223" s="41"/>
      <c r="BU223" s="41"/>
      <c r="BV223" s="41"/>
      <c r="BW223" s="41"/>
    </row>
    <row r="224" spans="1:75" x14ac:dyDescent="0.3">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c r="BJ224" s="41"/>
      <c r="BK224" s="41"/>
      <c r="BL224" s="41"/>
      <c r="BM224" s="41"/>
      <c r="BN224" s="41"/>
      <c r="BO224" s="41"/>
      <c r="BP224" s="41"/>
      <c r="BQ224" s="41"/>
      <c r="BR224" s="41"/>
      <c r="BS224" s="41"/>
      <c r="BT224" s="41"/>
      <c r="BU224" s="41"/>
      <c r="BV224" s="41"/>
      <c r="BW224" s="41"/>
    </row>
    <row r="225" spans="1:75" x14ac:dyDescent="0.3">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c r="BJ225" s="41"/>
      <c r="BK225" s="41"/>
      <c r="BL225" s="41"/>
      <c r="BM225" s="41"/>
      <c r="BN225" s="41"/>
      <c r="BO225" s="41"/>
      <c r="BP225" s="41"/>
      <c r="BQ225" s="41"/>
      <c r="BR225" s="41"/>
      <c r="BS225" s="41"/>
      <c r="BT225" s="41"/>
      <c r="BU225" s="41"/>
      <c r="BV225" s="41"/>
      <c r="BW225" s="41"/>
    </row>
    <row r="226" spans="1:75" x14ac:dyDescent="0.3">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c r="BJ226" s="41"/>
      <c r="BK226" s="41"/>
      <c r="BL226" s="41"/>
      <c r="BM226" s="41"/>
      <c r="BN226" s="41"/>
      <c r="BO226" s="41"/>
      <c r="BP226" s="41"/>
      <c r="BQ226" s="41"/>
      <c r="BR226" s="41"/>
      <c r="BS226" s="41"/>
      <c r="BT226" s="41"/>
      <c r="BU226" s="41"/>
      <c r="BV226" s="41"/>
      <c r="BW226" s="41"/>
    </row>
    <row r="227" spans="1:75" x14ac:dyDescent="0.3">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c r="BJ227" s="41"/>
      <c r="BK227" s="41"/>
      <c r="BL227" s="41"/>
      <c r="BM227" s="41"/>
      <c r="BN227" s="41"/>
      <c r="BO227" s="41"/>
      <c r="BP227" s="41"/>
      <c r="BQ227" s="41"/>
      <c r="BR227" s="41"/>
      <c r="BS227" s="41"/>
      <c r="BT227" s="41"/>
      <c r="BU227" s="41"/>
      <c r="BV227" s="41"/>
      <c r="BW227" s="41"/>
    </row>
    <row r="228" spans="1:75" x14ac:dyDescent="0.3">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c r="BS228" s="41"/>
      <c r="BT228" s="41"/>
      <c r="BU228" s="41"/>
      <c r="BV228" s="41"/>
      <c r="BW228" s="41"/>
    </row>
    <row r="229" spans="1:75" x14ac:dyDescent="0.3">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c r="BJ229" s="41"/>
      <c r="BK229" s="41"/>
      <c r="BL229" s="41"/>
      <c r="BM229" s="41"/>
      <c r="BN229" s="41"/>
      <c r="BO229" s="41"/>
      <c r="BP229" s="41"/>
      <c r="BQ229" s="41"/>
      <c r="BR229" s="41"/>
      <c r="BS229" s="41"/>
      <c r="BT229" s="41"/>
      <c r="BU229" s="41"/>
      <c r="BV229" s="41"/>
      <c r="BW229" s="41"/>
    </row>
    <row r="230" spans="1:75" x14ac:dyDescent="0.3">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c r="BJ230" s="41"/>
      <c r="BK230" s="41"/>
      <c r="BL230" s="41"/>
      <c r="BM230" s="41"/>
      <c r="BN230" s="41"/>
      <c r="BO230" s="41"/>
      <c r="BP230" s="41"/>
      <c r="BQ230" s="41"/>
      <c r="BR230" s="41"/>
      <c r="BS230" s="41"/>
      <c r="BT230" s="41"/>
      <c r="BU230" s="41"/>
      <c r="BV230" s="41"/>
      <c r="BW230" s="41"/>
    </row>
    <row r="231" spans="1:75" x14ac:dyDescent="0.3">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c r="BJ231" s="41"/>
      <c r="BK231" s="41"/>
      <c r="BL231" s="41"/>
      <c r="BM231" s="41"/>
      <c r="BN231" s="41"/>
      <c r="BO231" s="41"/>
      <c r="BP231" s="41"/>
      <c r="BQ231" s="41"/>
      <c r="BR231" s="41"/>
      <c r="BS231" s="41"/>
      <c r="BT231" s="41"/>
      <c r="BU231" s="41"/>
      <c r="BV231" s="41"/>
      <c r="BW231" s="41"/>
    </row>
    <row r="232" spans="1:75" x14ac:dyDescent="0.3">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c r="BJ232" s="41"/>
      <c r="BK232" s="41"/>
      <c r="BL232" s="41"/>
      <c r="BM232" s="41"/>
      <c r="BN232" s="41"/>
      <c r="BO232" s="41"/>
      <c r="BP232" s="41"/>
      <c r="BQ232" s="41"/>
      <c r="BR232" s="41"/>
      <c r="BS232" s="41"/>
      <c r="BT232" s="41"/>
      <c r="BU232" s="41"/>
      <c r="BV232" s="41"/>
      <c r="BW232" s="41"/>
    </row>
    <row r="233" spans="1:75" x14ac:dyDescent="0.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c r="BS233" s="41"/>
      <c r="BT233" s="41"/>
      <c r="BU233" s="41"/>
      <c r="BV233" s="41"/>
      <c r="BW233" s="41"/>
    </row>
    <row r="234" spans="1:75" x14ac:dyDescent="0.3">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row>
    <row r="235" spans="1:75" x14ac:dyDescent="0.3">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c r="BJ235" s="41"/>
      <c r="BK235" s="41"/>
      <c r="BL235" s="41"/>
      <c r="BM235" s="41"/>
      <c r="BN235" s="41"/>
      <c r="BO235" s="41"/>
      <c r="BP235" s="41"/>
      <c r="BQ235" s="41"/>
      <c r="BR235" s="41"/>
      <c r="BS235" s="41"/>
      <c r="BT235" s="41"/>
      <c r="BU235" s="41"/>
      <c r="BV235" s="41"/>
      <c r="BW235" s="41"/>
    </row>
    <row r="236" spans="1:75" x14ac:dyDescent="0.3">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c r="BS236" s="41"/>
      <c r="BT236" s="41"/>
      <c r="BU236" s="41"/>
      <c r="BV236" s="41"/>
      <c r="BW236" s="41"/>
    </row>
    <row r="237" spans="1:75" x14ac:dyDescent="0.3">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c r="BJ237" s="41"/>
      <c r="BK237" s="41"/>
      <c r="BL237" s="41"/>
      <c r="BM237" s="41"/>
      <c r="BN237" s="41"/>
      <c r="BO237" s="41"/>
      <c r="BP237" s="41"/>
      <c r="BQ237" s="41"/>
      <c r="BR237" s="41"/>
      <c r="BS237" s="41"/>
      <c r="BT237" s="41"/>
      <c r="BU237" s="41"/>
      <c r="BV237" s="41"/>
      <c r="BW237" s="41"/>
    </row>
    <row r="238" spans="1:75" x14ac:dyDescent="0.3">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c r="BS238" s="41"/>
      <c r="BT238" s="41"/>
      <c r="BU238" s="41"/>
      <c r="BV238" s="41"/>
      <c r="BW238" s="41"/>
    </row>
    <row r="239" spans="1:75" x14ac:dyDescent="0.3">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c r="BJ239" s="41"/>
      <c r="BK239" s="41"/>
      <c r="BL239" s="41"/>
      <c r="BM239" s="41"/>
      <c r="BN239" s="41"/>
      <c r="BO239" s="41"/>
      <c r="BP239" s="41"/>
      <c r="BQ239" s="41"/>
      <c r="BR239" s="41"/>
      <c r="BS239" s="41"/>
      <c r="BT239" s="41"/>
      <c r="BU239" s="41"/>
      <c r="BV239" s="41"/>
      <c r="BW239" s="41"/>
    </row>
    <row r="240" spans="1:75" x14ac:dyDescent="0.3">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c r="BJ240" s="41"/>
      <c r="BK240" s="41"/>
      <c r="BL240" s="41"/>
      <c r="BM240" s="41"/>
      <c r="BN240" s="41"/>
      <c r="BO240" s="41"/>
      <c r="BP240" s="41"/>
      <c r="BQ240" s="41"/>
      <c r="BR240" s="41"/>
      <c r="BS240" s="41"/>
      <c r="BT240" s="41"/>
      <c r="BU240" s="41"/>
      <c r="BV240" s="41"/>
      <c r="BW240" s="41"/>
    </row>
    <row r="241" spans="1:75" x14ac:dyDescent="0.3">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c r="BS241" s="41"/>
      <c r="BT241" s="41"/>
      <c r="BU241" s="41"/>
      <c r="BV241" s="41"/>
      <c r="BW241" s="41"/>
    </row>
    <row r="242" spans="1:75" x14ac:dyDescent="0.3">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c r="BS242" s="41"/>
      <c r="BT242" s="41"/>
      <c r="BU242" s="41"/>
      <c r="BV242" s="41"/>
      <c r="BW242" s="41"/>
    </row>
    <row r="243" spans="1:75" x14ac:dyDescent="0.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c r="BJ243" s="41"/>
      <c r="BK243" s="41"/>
      <c r="BL243" s="41"/>
      <c r="BM243" s="41"/>
      <c r="BN243" s="41"/>
      <c r="BO243" s="41"/>
      <c r="BP243" s="41"/>
      <c r="BQ243" s="41"/>
      <c r="BR243" s="41"/>
      <c r="BS243" s="41"/>
      <c r="BT243" s="41"/>
      <c r="BU243" s="41"/>
      <c r="BV243" s="41"/>
      <c r="BW243" s="41"/>
    </row>
    <row r="244" spans="1:75" x14ac:dyDescent="0.3">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c r="BJ244" s="41"/>
      <c r="BK244" s="41"/>
      <c r="BL244" s="41"/>
      <c r="BM244" s="41"/>
      <c r="BN244" s="41"/>
      <c r="BO244" s="41"/>
      <c r="BP244" s="41"/>
      <c r="BQ244" s="41"/>
      <c r="BR244" s="41"/>
      <c r="BS244" s="41"/>
      <c r="BT244" s="41"/>
      <c r="BU244" s="41"/>
      <c r="BV244" s="41"/>
      <c r="BW244" s="41"/>
    </row>
    <row r="245" spans="1:75" x14ac:dyDescent="0.3">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c r="BJ245" s="41"/>
      <c r="BK245" s="41"/>
      <c r="BL245" s="41"/>
      <c r="BM245" s="41"/>
      <c r="BN245" s="41"/>
      <c r="BO245" s="41"/>
      <c r="BP245" s="41"/>
      <c r="BQ245" s="41"/>
      <c r="BR245" s="41"/>
      <c r="BS245" s="41"/>
      <c r="BT245" s="41"/>
      <c r="BU245" s="41"/>
      <c r="BV245" s="41"/>
      <c r="BW245" s="41"/>
    </row>
    <row r="246" spans="1:75" x14ac:dyDescent="0.3">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c r="BS246" s="41"/>
      <c r="BT246" s="41"/>
      <c r="BU246" s="41"/>
      <c r="BV246" s="41"/>
      <c r="BW246" s="41"/>
    </row>
    <row r="247" spans="1:75" x14ac:dyDescent="0.3">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c r="BJ247" s="41"/>
      <c r="BK247" s="41"/>
      <c r="BL247" s="41"/>
      <c r="BM247" s="41"/>
      <c r="BN247" s="41"/>
      <c r="BO247" s="41"/>
      <c r="BP247" s="41"/>
      <c r="BQ247" s="41"/>
      <c r="BR247" s="41"/>
      <c r="BS247" s="41"/>
      <c r="BT247" s="41"/>
      <c r="BU247" s="41"/>
      <c r="BV247" s="41"/>
      <c r="BW247" s="41"/>
    </row>
    <row r="248" spans="1:75" x14ac:dyDescent="0.3">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c r="BJ248" s="41"/>
      <c r="BK248" s="41"/>
      <c r="BL248" s="41"/>
      <c r="BM248" s="41"/>
      <c r="BN248" s="41"/>
      <c r="BO248" s="41"/>
      <c r="BP248" s="41"/>
      <c r="BQ248" s="41"/>
      <c r="BR248" s="41"/>
      <c r="BS248" s="41"/>
      <c r="BT248" s="41"/>
      <c r="BU248" s="41"/>
      <c r="BV248" s="41"/>
      <c r="BW248" s="41"/>
    </row>
    <row r="249" spans="1:75" x14ac:dyDescent="0.3">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c r="BS249" s="41"/>
      <c r="BT249" s="41"/>
      <c r="BU249" s="41"/>
      <c r="BV249" s="41"/>
      <c r="BW249" s="41"/>
    </row>
    <row r="250" spans="1:75" x14ac:dyDescent="0.3">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c r="BS250" s="41"/>
      <c r="BT250" s="41"/>
      <c r="BU250" s="41"/>
      <c r="BV250" s="41"/>
      <c r="BW250" s="41"/>
    </row>
    <row r="251" spans="1:75" x14ac:dyDescent="0.3">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c r="BJ251" s="41"/>
      <c r="BK251" s="41"/>
      <c r="BL251" s="41"/>
      <c r="BM251" s="41"/>
      <c r="BN251" s="41"/>
      <c r="BO251" s="41"/>
      <c r="BP251" s="41"/>
      <c r="BQ251" s="41"/>
      <c r="BR251" s="41"/>
      <c r="BS251" s="41"/>
      <c r="BT251" s="41"/>
      <c r="BU251" s="41"/>
      <c r="BV251" s="41"/>
      <c r="BW251" s="41"/>
    </row>
    <row r="252" spans="1:75" x14ac:dyDescent="0.3">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c r="BS252" s="41"/>
      <c r="BT252" s="41"/>
      <c r="BU252" s="41"/>
      <c r="BV252" s="41"/>
      <c r="BW252" s="41"/>
    </row>
  </sheetData>
  <mergeCells count="1">
    <mergeCell ref="A1:B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Scenario Summary</vt:lpstr>
      <vt:lpstr>pivot 1</vt:lpstr>
      <vt:lpstr>pivot 2</vt:lpstr>
      <vt:lpstr>pivot 3</vt:lpstr>
      <vt:lpstr>Final Project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denish gajera</dc:creator>
  <cp:lastModifiedBy>denish gajera</cp:lastModifiedBy>
  <dcterms:created xsi:type="dcterms:W3CDTF">2025-12-24T06:04:53Z</dcterms:created>
  <dcterms:modified xsi:type="dcterms:W3CDTF">2026-03-16T11:49:00Z</dcterms:modified>
</cp:coreProperties>
</file>